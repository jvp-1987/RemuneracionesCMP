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ublic\Documents\Trabajo Compartido\ARCHIVOS 2026\REMUNERACIONES 2026\"/>
    </mc:Choice>
  </mc:AlternateContent>
  <xr:revisionPtr revIDLastSave="0" documentId="13_ncr:1_{7EED1A41-1CA9-473A-BDE6-1D03E56E53B4}" xr6:coauthVersionLast="47" xr6:coauthVersionMax="47" xr10:uidLastSave="{00000000-0000-0000-0000-000000000000}"/>
  <bookViews>
    <workbookView xWindow="-120" yWindow="-120" windowWidth="29040" windowHeight="15720" firstSheet="5" activeTab="7" xr2:uid="{00000000-000D-0000-FFFF-FFFF00000000}"/>
  </bookViews>
  <sheets>
    <sheet name="Hoja3" sheetId="2" state="hidden" r:id="rId1"/>
    <sheet name="Hoja2" sheetId="3" state="hidden" r:id="rId2"/>
    <sheet name="Hoja5" sheetId="6" state="hidden" r:id="rId3"/>
    <sheet name="Hoja6" sheetId="7" state="hidden" r:id="rId4"/>
    <sheet name="Hoja4" sheetId="18" state="hidden" r:id="rId5"/>
    <sheet name="HORAS EXTRAS 25%" sheetId="12" r:id="rId6"/>
    <sheet name="HORAS EXTRAS 50%" sheetId="28" r:id="rId7"/>
    <sheet name="HORAS EXTRAS SAR" sheetId="17" r:id="rId8"/>
    <sheet name="VIÁTICOS" sheetId="20" r:id="rId9"/>
    <sheet name="CIRUGIA MENOR" sheetId="25" r:id="rId10"/>
    <sheet name="SALUD MENTAL SAR" sheetId="27" r:id="rId11"/>
    <sheet name="ATRASOS FUNCIONARIOS" sheetId="31" r:id="rId12"/>
    <sheet name="ECICEP" sheetId="24" r:id="rId13"/>
    <sheet name="Hoja1" sheetId="15" state="hidden" r:id="rId14"/>
  </sheets>
  <definedNames>
    <definedName name="_xlnm._FilterDatabase" localSheetId="12" hidden="1">ECICEP!$A$4:$K$14</definedName>
    <definedName name="_xlnm._FilterDatabase" localSheetId="5" hidden="1">'HORAS EXTRAS 25%'!$A$4:$E$213</definedName>
    <definedName name="_xlnm._FilterDatabase" localSheetId="6" hidden="1">'HORAS EXTRAS 50%'!$A$4:$E$214</definedName>
    <definedName name="_xlnm._FilterDatabase" localSheetId="7" hidden="1">'HORAS EXTRAS SAR'!$A$3:$H$60</definedName>
    <definedName name="_xlnm._FilterDatabase" localSheetId="8" hidden="1">VIÁTICOS!$A$4:$O$75</definedName>
    <definedName name="SUMA">#REF!</definedName>
  </definedNames>
  <calcPr calcId="181029"/>
</workbook>
</file>

<file path=xl/calcChain.xml><?xml version="1.0" encoding="utf-8"?>
<calcChain xmlns="http://schemas.openxmlformats.org/spreadsheetml/2006/main">
  <c r="C61" i="20" l="1"/>
  <c r="H61" i="20"/>
  <c r="K61" i="20"/>
  <c r="N61" i="20"/>
  <c r="H27" i="20"/>
  <c r="K27" i="20"/>
  <c r="N27" i="20"/>
  <c r="H71" i="20"/>
  <c r="K71" i="20"/>
  <c r="N71" i="20"/>
  <c r="H67" i="20"/>
  <c r="K67" i="20"/>
  <c r="N67" i="20"/>
  <c r="H66" i="20"/>
  <c r="K66" i="20"/>
  <c r="N66" i="20"/>
  <c r="H19" i="20"/>
  <c r="K19" i="20"/>
  <c r="N19" i="20"/>
  <c r="H7" i="20"/>
  <c r="K7" i="20"/>
  <c r="H29" i="20"/>
  <c r="K29" i="20"/>
  <c r="N29" i="20"/>
  <c r="H6" i="20"/>
  <c r="K6" i="20"/>
  <c r="N75" i="20"/>
  <c r="K75" i="20"/>
  <c r="H75" i="20"/>
  <c r="N74" i="20"/>
  <c r="K74" i="20"/>
  <c r="H74" i="20"/>
  <c r="N73" i="20"/>
  <c r="K73" i="20"/>
  <c r="H73" i="20"/>
  <c r="N72" i="20"/>
  <c r="K72" i="20"/>
  <c r="H72" i="20"/>
  <c r="N70" i="20"/>
  <c r="K70" i="20"/>
  <c r="H70" i="20"/>
  <c r="N69" i="20"/>
  <c r="K69" i="20"/>
  <c r="H69" i="20"/>
  <c r="N68" i="20"/>
  <c r="K68" i="20"/>
  <c r="H68" i="20"/>
  <c r="N65" i="20"/>
  <c r="K65" i="20"/>
  <c r="H65" i="20"/>
  <c r="N64" i="20"/>
  <c r="K64" i="20"/>
  <c r="H64" i="20"/>
  <c r="N63" i="20"/>
  <c r="K63" i="20"/>
  <c r="H63" i="20"/>
  <c r="N62" i="20"/>
  <c r="K62" i="20"/>
  <c r="H62" i="20"/>
  <c r="N60" i="20"/>
  <c r="K60" i="20"/>
  <c r="H60" i="20"/>
  <c r="N59" i="20"/>
  <c r="K59" i="20"/>
  <c r="H59" i="20"/>
  <c r="N58" i="20"/>
  <c r="K58" i="20"/>
  <c r="H58" i="20"/>
  <c r="N57" i="20"/>
  <c r="K57" i="20"/>
  <c r="H57" i="20"/>
  <c r="N56" i="20"/>
  <c r="K56" i="20"/>
  <c r="H56" i="20"/>
  <c r="N55" i="20"/>
  <c r="K55" i="20"/>
  <c r="H55" i="20"/>
  <c r="N54" i="20"/>
  <c r="K54" i="20"/>
  <c r="H54" i="20"/>
  <c r="N53" i="20"/>
  <c r="K53" i="20"/>
  <c r="H53" i="20"/>
  <c r="N52" i="20"/>
  <c r="K52" i="20"/>
  <c r="H52" i="20"/>
  <c r="N51" i="20"/>
  <c r="K51" i="20"/>
  <c r="H51" i="20"/>
  <c r="N50" i="20"/>
  <c r="K50" i="20"/>
  <c r="H50" i="20"/>
  <c r="N49" i="20"/>
  <c r="K49" i="20"/>
  <c r="H49" i="20"/>
  <c r="N48" i="20"/>
  <c r="K48" i="20"/>
  <c r="H48" i="20"/>
  <c r="N47" i="20"/>
  <c r="K47" i="20"/>
  <c r="H47" i="20"/>
  <c r="N46" i="20"/>
  <c r="K46" i="20"/>
  <c r="H46" i="20"/>
  <c r="N45" i="20"/>
  <c r="K45" i="20"/>
  <c r="H45" i="20"/>
  <c r="N44" i="20"/>
  <c r="K44" i="20"/>
  <c r="H44" i="20"/>
  <c r="N43" i="20"/>
  <c r="K43" i="20"/>
  <c r="H43" i="20"/>
  <c r="N42" i="20"/>
  <c r="K42" i="20"/>
  <c r="H42" i="20"/>
  <c r="N41" i="20"/>
  <c r="K41" i="20"/>
  <c r="H41" i="20"/>
  <c r="N40" i="20"/>
  <c r="K40" i="20"/>
  <c r="H40" i="20"/>
  <c r="N39" i="20"/>
  <c r="K39" i="20"/>
  <c r="H39" i="20"/>
  <c r="N38" i="20"/>
  <c r="K38" i="20"/>
  <c r="H38" i="20"/>
  <c r="N37" i="20"/>
  <c r="K37" i="20"/>
  <c r="H37" i="20"/>
  <c r="N36" i="20"/>
  <c r="K36" i="20"/>
  <c r="H36" i="20"/>
  <c r="N35" i="20"/>
  <c r="K35" i="20"/>
  <c r="H35" i="20"/>
  <c r="N34" i="20"/>
  <c r="K34" i="20"/>
  <c r="H34" i="20"/>
  <c r="N33" i="20"/>
  <c r="K33" i="20"/>
  <c r="H33" i="20"/>
  <c r="N32" i="20"/>
  <c r="K32" i="20"/>
  <c r="H32" i="20"/>
  <c r="N31" i="20"/>
  <c r="K31" i="20"/>
  <c r="H31" i="20"/>
  <c r="N30" i="20"/>
  <c r="K30" i="20"/>
  <c r="H30" i="20"/>
  <c r="N28" i="20"/>
  <c r="K28" i="20"/>
  <c r="H28" i="20"/>
  <c r="N26" i="20"/>
  <c r="K26" i="20"/>
  <c r="H26" i="20"/>
  <c r="N25" i="20"/>
  <c r="K25" i="20"/>
  <c r="H25" i="20"/>
  <c r="N24" i="20"/>
  <c r="K24" i="20"/>
  <c r="H24" i="20"/>
  <c r="N23" i="20"/>
  <c r="K23" i="20"/>
  <c r="H23" i="20"/>
  <c r="N22" i="20"/>
  <c r="K22" i="20"/>
  <c r="H22" i="20"/>
  <c r="N21" i="20"/>
  <c r="K21" i="20"/>
  <c r="H21" i="20"/>
  <c r="N20" i="20"/>
  <c r="K20" i="20"/>
  <c r="H20" i="20"/>
  <c r="N18" i="20"/>
  <c r="K18" i="20"/>
  <c r="H18" i="20"/>
  <c r="N17" i="20"/>
  <c r="K17" i="20"/>
  <c r="H17" i="20"/>
  <c r="N16" i="20"/>
  <c r="K16" i="20"/>
  <c r="H16" i="20"/>
  <c r="N15" i="20"/>
  <c r="K15" i="20"/>
  <c r="H15" i="20"/>
  <c r="N14" i="20"/>
  <c r="K14" i="20"/>
  <c r="H14" i="20"/>
  <c r="N13" i="20"/>
  <c r="K13" i="20"/>
  <c r="H13" i="20"/>
  <c r="N12" i="20"/>
  <c r="K12" i="20"/>
  <c r="H12" i="20"/>
  <c r="N11" i="20"/>
  <c r="K11" i="20"/>
  <c r="H11" i="20"/>
  <c r="K10" i="20"/>
  <c r="H10" i="20"/>
  <c r="K9" i="20"/>
  <c r="H9" i="20"/>
  <c r="K8" i="20"/>
  <c r="H8" i="20"/>
  <c r="K5" i="20"/>
  <c r="H5" i="20"/>
  <c r="C27" i="20" l="1"/>
  <c r="C71" i="20"/>
  <c r="C67" i="20"/>
  <c r="C66" i="20"/>
  <c r="C19" i="20"/>
  <c r="C7" i="20"/>
  <c r="C10" i="20"/>
  <c r="C29" i="20"/>
  <c r="C18" i="20"/>
  <c r="C28" i="20"/>
  <c r="C33" i="20"/>
  <c r="C41" i="20"/>
  <c r="C45" i="20"/>
  <c r="C53" i="20"/>
  <c r="C57" i="20"/>
  <c r="C68" i="20"/>
  <c r="C73" i="20"/>
  <c r="C5" i="20"/>
  <c r="C9" i="20"/>
  <c r="C14" i="20"/>
  <c r="C11" i="20"/>
  <c r="C15" i="20"/>
  <c r="C24" i="20"/>
  <c r="C30" i="20"/>
  <c r="C38" i="20"/>
  <c r="C42" i="20"/>
  <c r="C50" i="20"/>
  <c r="C54" i="20"/>
  <c r="C63" i="20"/>
  <c r="C69" i="20"/>
  <c r="C12" i="20"/>
  <c r="C21" i="20"/>
  <c r="C25" i="20"/>
  <c r="C35" i="20"/>
  <c r="C39" i="20"/>
  <c r="C47" i="20"/>
  <c r="C51" i="20"/>
  <c r="C59" i="20"/>
  <c r="C64" i="20"/>
  <c r="C75" i="20"/>
  <c r="C17" i="20"/>
  <c r="C32" i="20"/>
  <c r="C36" i="20"/>
  <c r="C48" i="20"/>
  <c r="C56" i="20"/>
  <c r="C60" i="20"/>
  <c r="C72" i="20"/>
  <c r="C22" i="20"/>
  <c r="C44" i="20"/>
  <c r="C6" i="20"/>
  <c r="C40" i="20"/>
  <c r="C52" i="20"/>
  <c r="C65" i="20"/>
  <c r="C23" i="20"/>
  <c r="C37" i="20"/>
  <c r="C49" i="20"/>
  <c r="C62" i="20"/>
  <c r="C20" i="20"/>
  <c r="C34" i="20"/>
  <c r="C46" i="20"/>
  <c r="C58" i="20"/>
  <c r="C74" i="20"/>
  <c r="C13" i="20"/>
  <c r="C26" i="20"/>
  <c r="C16" i="20"/>
  <c r="C31" i="20"/>
  <c r="C43" i="20"/>
  <c r="C55" i="20"/>
  <c r="C70" i="20"/>
  <c r="C8" i="20"/>
  <c r="H7" i="24" l="1"/>
  <c r="K7" i="24"/>
  <c r="C7" i="24" l="1"/>
  <c r="H10" i="24"/>
  <c r="K10" i="24"/>
  <c r="C10" i="24" s="1"/>
  <c r="K13" i="24"/>
  <c r="H13" i="24"/>
  <c r="H9" i="24"/>
  <c r="K9" i="24"/>
  <c r="C13" i="24" l="1"/>
  <c r="C9" i="24"/>
  <c r="E60" i="17" l="1"/>
  <c r="H6" i="24"/>
  <c r="H14" i="24"/>
  <c r="H11" i="24"/>
  <c r="H8" i="24"/>
  <c r="H5" i="24"/>
  <c r="K8" i="24"/>
  <c r="K5" i="24"/>
  <c r="K11" i="24"/>
  <c r="K14" i="24"/>
  <c r="K6" i="24"/>
  <c r="K12" i="24"/>
  <c r="H12" i="24"/>
  <c r="C14" i="24" l="1"/>
  <c r="C11" i="24"/>
  <c r="C6" i="24"/>
  <c r="C5" i="24"/>
  <c r="C8" i="24"/>
  <c r="C12" i="24"/>
  <c r="F60" i="17"/>
</calcChain>
</file>

<file path=xl/sharedStrings.xml><?xml version="1.0" encoding="utf-8"?>
<sst xmlns="http://schemas.openxmlformats.org/spreadsheetml/2006/main" count="1505" uniqueCount="959">
  <si>
    <t>RUT</t>
  </si>
  <si>
    <t>APELLIDO PATERNO MATERNO NOMBRE</t>
  </si>
  <si>
    <t>MONTO TOTAL</t>
  </si>
  <si>
    <t>FECHA INICIO</t>
  </si>
  <si>
    <t>FECHA TERMINO</t>
  </si>
  <si>
    <t>N°  Hrs</t>
  </si>
  <si>
    <t>VALOR HABIL</t>
  </si>
  <si>
    <t>VALOR INHABIL</t>
  </si>
  <si>
    <t>17.397.217-2</t>
  </si>
  <si>
    <t>12.116.567-8</t>
  </si>
  <si>
    <t>16.490.061-4</t>
  </si>
  <si>
    <t>17.973.469-9</t>
  </si>
  <si>
    <t>13.816.685-6</t>
  </si>
  <si>
    <t>MANQUEL MANQUEL YESSICA D</t>
  </si>
  <si>
    <t>11.804.653-6</t>
  </si>
  <si>
    <t>MEZA MEDINA WALESKA ODETT</t>
  </si>
  <si>
    <t>17.354.259-3</t>
  </si>
  <si>
    <t>13.816.761-5</t>
  </si>
  <si>
    <t>22.187.467-6</t>
  </si>
  <si>
    <t>16.263.229-9</t>
  </si>
  <si>
    <t>HABIL</t>
  </si>
  <si>
    <t>INHABIL</t>
  </si>
  <si>
    <t>SUB TOTAL 1</t>
  </si>
  <si>
    <t>SUB TOTAL 2</t>
  </si>
  <si>
    <t>VALENZUELA GAETE TOMAS</t>
  </si>
  <si>
    <t>CANTIDAD HORAS 25 %</t>
  </si>
  <si>
    <t>13.400.640-4</t>
  </si>
  <si>
    <t>CARDENAS ROSAS CLAUDIO</t>
  </si>
  <si>
    <t>18.289.423-0</t>
  </si>
  <si>
    <t>18.288.912-1</t>
  </si>
  <si>
    <t>19.025.854-8</t>
  </si>
  <si>
    <t>14.224.510-8</t>
  </si>
  <si>
    <t>MARTIN JEREZ PATRICIO</t>
  </si>
  <si>
    <t>15.259.109-8</t>
  </si>
  <si>
    <t>ESPINOZA LUCICH ANDRES</t>
  </si>
  <si>
    <t>ULLOA MARIA EUGENIA</t>
  </si>
  <si>
    <t>LEIVA REYES MARICEL</t>
  </si>
  <si>
    <t>TOSTI-CROCE MAYNE SILVANA</t>
  </si>
  <si>
    <t>MEDINA GONZALEZ YANIRA</t>
  </si>
  <si>
    <t>ESCOBAR MONTENEGRO DANIELA</t>
  </si>
  <si>
    <t>DURAN ROMERO MARTA ANDREA</t>
  </si>
  <si>
    <t>ZUÑIGA CANALES FELIPE</t>
  </si>
  <si>
    <t>13.400.582-3</t>
  </si>
  <si>
    <t>15.262.648-7</t>
  </si>
  <si>
    <t>INOSTROZA SILVA ZINARA</t>
  </si>
  <si>
    <t>12.744.959-7</t>
  </si>
  <si>
    <t>ESPINOZA VÁSQUEZ PATRICIA</t>
  </si>
  <si>
    <t>MANQUEL MANQUEL YESSICA</t>
  </si>
  <si>
    <t>12.992.488-8</t>
  </si>
  <si>
    <t>CONTRERAS MANQUELIPE RODRIGO</t>
  </si>
  <si>
    <t>11.918.727-3</t>
  </si>
  <si>
    <t>RODRIGUEZ FAÚNDEZ NIXY</t>
  </si>
  <si>
    <t>14.224.363-6</t>
  </si>
  <si>
    <t>MORAGA MORAGA ELIZABETH</t>
  </si>
  <si>
    <t>CIFUENTES HERNANDEZ HERIBERTO</t>
  </si>
  <si>
    <t>12.745.483-3</t>
  </si>
  <si>
    <t xml:space="preserve">OLATE SAAVEDRA JORGE </t>
  </si>
  <si>
    <t>14.224.819-0</t>
  </si>
  <si>
    <t>10.174.617-8</t>
  </si>
  <si>
    <t>ZARATE CASTRO YESENIA</t>
  </si>
  <si>
    <t>17.653.111-8</t>
  </si>
  <si>
    <t>14.224.469-1</t>
  </si>
  <si>
    <t xml:space="preserve">CIFUENTES HERNANDEZ PAULINA </t>
  </si>
  <si>
    <t>MAUREIRA MENDEZ BERTA</t>
  </si>
  <si>
    <t>12.748.394-9</t>
  </si>
  <si>
    <t>TRONCOSO VEGA YANELA</t>
  </si>
  <si>
    <t>15.266.879-0</t>
  </si>
  <si>
    <t xml:space="preserve">LLANQUILEF SALINAS CRISTINA </t>
  </si>
  <si>
    <t>17.973.337-4</t>
  </si>
  <si>
    <t>12.745.154-0</t>
  </si>
  <si>
    <t>18.886.095-8</t>
  </si>
  <si>
    <t>16.830.023-9</t>
  </si>
  <si>
    <t>18.285.964-8</t>
  </si>
  <si>
    <t>17.973.145-2</t>
  </si>
  <si>
    <t xml:space="preserve">GONZALEZ LLANCALEO CENIA </t>
  </si>
  <si>
    <t>RAMOS CRETTON RENÉ</t>
  </si>
  <si>
    <t>16.242.850-0</t>
  </si>
  <si>
    <t>SANHUEZA CONTRERAS MARCELO</t>
  </si>
  <si>
    <t>7.581.003-2</t>
  </si>
  <si>
    <t>CURIÑANCO MONTES SERGIO</t>
  </si>
  <si>
    <t>19.087.346-3</t>
  </si>
  <si>
    <t>JARA LLANCALEO TAMARA</t>
  </si>
  <si>
    <t>GARCÉS SALDIVIA DAVID</t>
  </si>
  <si>
    <t>13.815.151-4</t>
  </si>
  <si>
    <t>MARTINEZ BUSTOS BERNARDA</t>
  </si>
  <si>
    <t>CARMONA HORMAZABAL CAMILA</t>
  </si>
  <si>
    <t>PIZARRO CARVAJAL FELIPE</t>
  </si>
  <si>
    <t>CORTÉS CEBALLOS JACQUELINE</t>
  </si>
  <si>
    <t>18.839.823-5</t>
  </si>
  <si>
    <t>17.323.902-5</t>
  </si>
  <si>
    <t>18.719.135-1</t>
  </si>
  <si>
    <t>17.512.057-2</t>
  </si>
  <si>
    <t>19.310.043-0</t>
  </si>
  <si>
    <t>16.542.806-4</t>
  </si>
  <si>
    <t>RUIZ REYES CAMILA</t>
  </si>
  <si>
    <t>16.685.899-2</t>
  </si>
  <si>
    <t>SAAVEDRA SANTIESTEBAN NATALIA</t>
  </si>
  <si>
    <t>PARRA JARAMILLO JENNIFER</t>
  </si>
  <si>
    <t>18.838.000-K</t>
  </si>
  <si>
    <t>BELMAR FERNANDEZ BRENDA</t>
  </si>
  <si>
    <t>19.089.633-1</t>
  </si>
  <si>
    <t>REYES SABAG NAZIRA</t>
  </si>
  <si>
    <t>15.600.505-3</t>
  </si>
  <si>
    <t>AILLAPAN MARDONES IRMA</t>
  </si>
  <si>
    <t>13.585.196-8</t>
  </si>
  <si>
    <t>15.849.441-8</t>
  </si>
  <si>
    <t>GONZÁLEZ MUÑÓZ ISAMIR</t>
  </si>
  <si>
    <t>JARA JARA HECTOR</t>
  </si>
  <si>
    <t>10.765.330-4</t>
  </si>
  <si>
    <t>MARDONES GABRIEL ARMANDO</t>
  </si>
  <si>
    <t>17.973422-2</t>
  </si>
  <si>
    <t>REYES VIVANCO GUISSEL</t>
  </si>
  <si>
    <t>14.591.420-5</t>
  </si>
  <si>
    <t>ARCOS RUBILAR SUSAN</t>
  </si>
  <si>
    <t>RAMOS GONZÁLEZ CECILIA</t>
  </si>
  <si>
    <t>SALINAS MARDONES DANIELA</t>
  </si>
  <si>
    <t>18.932.655-6</t>
  </si>
  <si>
    <t>ALARCÓN VALDEBENITO BÁRBARA</t>
  </si>
  <si>
    <t>18.931.584-8</t>
  </si>
  <si>
    <t>SILVA CATALÁN MARÍA CONZUELO</t>
  </si>
  <si>
    <t>FIGUEROA SANDOVAL PAMELA</t>
  </si>
  <si>
    <t>14.224.898-0</t>
  </si>
  <si>
    <t>CARABANTES LEAL LEYLA</t>
  </si>
  <si>
    <t>13.585.979-6</t>
  </si>
  <si>
    <t>ESPINOZA VÁSQUEZ DANIELA</t>
  </si>
  <si>
    <t>26.819.366-9</t>
  </si>
  <si>
    <t>FUENTES COCHO JOANNY</t>
  </si>
  <si>
    <t>16.461.028-4</t>
  </si>
  <si>
    <t>ASCENCIO ULE NELSON</t>
  </si>
  <si>
    <t>19.623.961-8</t>
  </si>
  <si>
    <t>FERREIRA ROSAS LEA</t>
  </si>
  <si>
    <t>17.653.264-5</t>
  </si>
  <si>
    <t>HERNÁNDEZ JIMENEZ DIUDINA</t>
  </si>
  <si>
    <t>17.512.508-6</t>
  </si>
  <si>
    <t xml:space="preserve">LOPEZ ANCAMILLA CAROLINA </t>
  </si>
  <si>
    <t>13.586.073-5</t>
  </si>
  <si>
    <t>VENEGAS PATRICIA</t>
  </si>
  <si>
    <t>18.285.696-7</t>
  </si>
  <si>
    <t>VALDÉS CANIULEF CAROLINA</t>
  </si>
  <si>
    <t>14.128.779-6</t>
  </si>
  <si>
    <t>ALVARADO H. KATHERINE</t>
  </si>
  <si>
    <t>15.374.821-7</t>
  </si>
  <si>
    <t>TORRES VEGA CECILIA</t>
  </si>
  <si>
    <t>12.745.484-1</t>
  </si>
  <si>
    <t>21.723.983-4</t>
  </si>
  <si>
    <t>MACIAS LUIS ALBERTO</t>
  </si>
  <si>
    <t>18.517.993-1</t>
  </si>
  <si>
    <t>FRITZ SAAVEDRA CAROLINA</t>
  </si>
  <si>
    <t>MARTINEZ ROJAS BERNARDA VALERIA</t>
  </si>
  <si>
    <t>ULLOA VEGA KARLA</t>
  </si>
  <si>
    <t>18.138.439-5</t>
  </si>
  <si>
    <t>JARA ANDRADES BARBARA</t>
  </si>
  <si>
    <t>18.789.228-7</t>
  </si>
  <si>
    <t>CERDA RIVERA EDUARDO</t>
  </si>
  <si>
    <t>HERNANDEZ IFLAND MELISSA</t>
  </si>
  <si>
    <t>18.818.522-3</t>
  </si>
  <si>
    <t>CISTERNA GUARDA VALERIA</t>
  </si>
  <si>
    <t>17.324.149-6</t>
  </si>
  <si>
    <t>ROMERO CORTES DANIXA</t>
  </si>
  <si>
    <t>18.517.757-2</t>
  </si>
  <si>
    <t>17.973.408-7</t>
  </si>
  <si>
    <t>MARTINEZ MORAGA YASNA</t>
  </si>
  <si>
    <t>12.574.216-5</t>
  </si>
  <si>
    <t>13.816.250-8</t>
  </si>
  <si>
    <t>11.918.733-8</t>
  </si>
  <si>
    <t>BARRIA NAVARRETE MARIA SOLEDAD</t>
  </si>
  <si>
    <t>16.920.666-K</t>
  </si>
  <si>
    <t>16.463.912-6</t>
  </si>
  <si>
    <t>GONZALEZ SANTIBAÑEZ EDUARDO</t>
  </si>
  <si>
    <t>15.267.449-K</t>
  </si>
  <si>
    <t>19.623.413-6</t>
  </si>
  <si>
    <t>VALENZUELA GAETE TOMÁS</t>
  </si>
  <si>
    <t>17.653.231-9</t>
  </si>
  <si>
    <t>SEPÚLVEDA SEPÚLVEDA MARIBEL</t>
  </si>
  <si>
    <t>17.972.947-4</t>
  </si>
  <si>
    <t>CORTÉS LÓPEZ KARINA</t>
  </si>
  <si>
    <t>17.742.717-9</t>
  </si>
  <si>
    <t>AZÓCAR MOLINA PAOLA</t>
  </si>
  <si>
    <t>15.828.667-K</t>
  </si>
  <si>
    <t>MEJIAS MIRANDA PAULINA</t>
  </si>
  <si>
    <t>10.366.868-9</t>
  </si>
  <si>
    <t>ZAVALA BRAVO JUAN</t>
  </si>
  <si>
    <t>11.960.451-6</t>
  </si>
  <si>
    <t>16.512.242-9</t>
  </si>
  <si>
    <t>VALDÉS NÚÑEZ PAULA ALEJANDRA</t>
  </si>
  <si>
    <t>18.173.433-7</t>
  </si>
  <si>
    <t>RAMIREZ PINOCHET JAVIERA</t>
  </si>
  <si>
    <t>18.517.628-2</t>
  </si>
  <si>
    <t>RIVERA BARRA PABLO</t>
  </si>
  <si>
    <t>10.778.283-4</t>
  </si>
  <si>
    <t>BAEZA SANDOVAL ENZO</t>
  </si>
  <si>
    <t>PEREZ GALDAMES CRISTINA</t>
  </si>
  <si>
    <t>LEIVA ANDRADE IVAN</t>
  </si>
  <si>
    <t>15.849.745-k</t>
  </si>
  <si>
    <t>GERLACH RODRIGUEZ ALICIA</t>
  </si>
  <si>
    <t>14.224.332-6</t>
  </si>
  <si>
    <t>ESCOBAR SERRES YASNA</t>
  </si>
  <si>
    <t>16.317.591-6</t>
  </si>
  <si>
    <t>ESPINOZA FISSORE MACARENA</t>
  </si>
  <si>
    <t>9.188.573-5</t>
  </si>
  <si>
    <t>SOTO MARTINEZ RAFAEL</t>
  </si>
  <si>
    <t>REBOLLEDO SANHUEZA BRIGITTE</t>
  </si>
  <si>
    <t>18.285.724-6</t>
  </si>
  <si>
    <t xml:space="preserve">PINTO REYES SEBASTIAN </t>
  </si>
  <si>
    <t>18.776.289-8</t>
  </si>
  <si>
    <t>AVILA PARRA CAMILA</t>
  </si>
  <si>
    <t>20.023.896-6</t>
  </si>
  <si>
    <t>17.653.386-2</t>
  </si>
  <si>
    <t>MORA VALLADARES DENISE</t>
  </si>
  <si>
    <t>19.132.728-9</t>
  </si>
  <si>
    <t>18.285.205-8</t>
  </si>
  <si>
    <t>20.395.540-5</t>
  </si>
  <si>
    <t>PALMA MONSALBE TERESA</t>
  </si>
  <si>
    <t>13.953.290-2</t>
  </si>
  <si>
    <t>SILVA MARDONES KARINA</t>
  </si>
  <si>
    <t>16.213.832-4</t>
  </si>
  <si>
    <t>LLANCAFILO MILLAL HECTOR</t>
  </si>
  <si>
    <t>11.421.317-9</t>
  </si>
  <si>
    <t>REYES CASTILLO EDITH</t>
  </si>
  <si>
    <t>20.023.621-1</t>
  </si>
  <si>
    <t>17.324.190-9</t>
  </si>
  <si>
    <t>NAHUEL HURTADO NAVY</t>
  </si>
  <si>
    <t>17.585.129-1</t>
  </si>
  <si>
    <t>RETAMAL LARA CATERYNE</t>
  </si>
  <si>
    <t>ARACENA LABBÉ ARACELY</t>
  </si>
  <si>
    <t>18.174.497-9</t>
  </si>
  <si>
    <t>QUINTEROS ROA ANDRÉS</t>
  </si>
  <si>
    <t>ARCOS RUBILAR RUDY</t>
  </si>
  <si>
    <t>MANCILLA VALENZUELA SISSY</t>
  </si>
  <si>
    <t>MEZA ULLOA LUCERINA</t>
  </si>
  <si>
    <t>16.246.002-1</t>
  </si>
  <si>
    <t>AREVALO BALBOA EVELYN</t>
  </si>
  <si>
    <t>26.575.923-8</t>
  </si>
  <si>
    <t>PONCE MIRANDA VIVIANA</t>
  </si>
  <si>
    <t>MENDEZ AILLAPAN ANDREA</t>
  </si>
  <si>
    <t>16.830.054-9</t>
  </si>
  <si>
    <t>HUILIPAN LLANQUINAO AIDA</t>
  </si>
  <si>
    <t>13.400,307-3</t>
  </si>
  <si>
    <t>15.266.271-8</t>
  </si>
  <si>
    <t>SCHMAN VARGAS CLAUDIO</t>
  </si>
  <si>
    <t>19.090.730-9</t>
  </si>
  <si>
    <t>CONCHA HERRERA MATÍAS</t>
  </si>
  <si>
    <t>16.048.531-0</t>
  </si>
  <si>
    <t>LOPEZ ANCAMILLA JESSICA</t>
  </si>
  <si>
    <t>GOTERA MARQUEZ HELLEN</t>
  </si>
  <si>
    <t>18.196.199-8</t>
  </si>
  <si>
    <t>GONZALEZ MORA BÁRBARA</t>
  </si>
  <si>
    <t>16.543.066-2</t>
  </si>
  <si>
    <t>MERA CATALÁN FABIOLA</t>
  </si>
  <si>
    <t>15.474.156-9</t>
  </si>
  <si>
    <t>MIRANDA AGUILERA ARTURO</t>
  </si>
  <si>
    <t>13.964.115-9</t>
  </si>
  <si>
    <t>14.224.912-K</t>
  </si>
  <si>
    <t>VALENZUELA ÁLVAREZ NICOL</t>
  </si>
  <si>
    <t>19.861.854-9</t>
  </si>
  <si>
    <t>CABALLERO SOTO PABLO</t>
  </si>
  <si>
    <t>17.972.823-0</t>
  </si>
  <si>
    <t>18.517.880-3</t>
  </si>
  <si>
    <t>MOENNE-LOCCOZ LEIVA VIVIAN</t>
  </si>
  <si>
    <t>19.458.745-K</t>
  </si>
  <si>
    <t>LAFUENTE BARRERA ANGELA SOLANGE</t>
  </si>
  <si>
    <t>15.850.226-7</t>
  </si>
  <si>
    <t>GANGAS HENRIQUEZ DANIELA</t>
  </si>
  <si>
    <t>15.849.908-9</t>
  </si>
  <si>
    <t>TROPA QUINTREL LUZ</t>
  </si>
  <si>
    <t>15262648-7</t>
  </si>
  <si>
    <t>13400582-3</t>
  </si>
  <si>
    <t>18.286.036-0</t>
  </si>
  <si>
    <t>BIOLLEY SOTO FELIPE</t>
  </si>
  <si>
    <t>BERROCAL TAPIA FRANCISCA</t>
  </si>
  <si>
    <t>19.623.643-0</t>
  </si>
  <si>
    <t>20.016.185-8</t>
  </si>
  <si>
    <t>BURGOS FIGUEROA CATALINA</t>
  </si>
  <si>
    <t>MOENNE-LOCCOZ OBREQUE VICTORIA</t>
  </si>
  <si>
    <t>26.741.273-1</t>
  </si>
  <si>
    <t>16.214798-6</t>
  </si>
  <si>
    <t>CATRIPÁN HUEITRA NANCY</t>
  </si>
  <si>
    <t>16.424.863-1</t>
  </si>
  <si>
    <t>18.477.413-5</t>
  </si>
  <si>
    <t>MANRIQUEZ ALMONACID GUISELLE</t>
  </si>
  <si>
    <t>11.704.001-1</t>
  </si>
  <si>
    <t>BREVIS POVEDA SANDRA</t>
  </si>
  <si>
    <t>9.021.888-1</t>
  </si>
  <si>
    <t>ELUA RIFFO TAMARA</t>
  </si>
  <si>
    <t>11.856.459-6</t>
  </si>
  <si>
    <t>CEBALLO COGLER SILVIA</t>
  </si>
  <si>
    <t>ISLA LÓPEZ PAULINA</t>
  </si>
  <si>
    <t>19.126.401-0</t>
  </si>
  <si>
    <t>18.724342-4</t>
  </si>
  <si>
    <t>SOTO NAVERRETE FRANCISCA</t>
  </si>
  <si>
    <t>VERGARA LAFUENTE PAMELA</t>
  </si>
  <si>
    <t>16.543.435-8</t>
  </si>
  <si>
    <t>GONZÁLEZ SALVO ALEJANDRA</t>
  </si>
  <si>
    <t>17.653.589-K</t>
  </si>
  <si>
    <t>BASCUR VASQUEZ CAMILA</t>
  </si>
  <si>
    <t>20.025.033-8</t>
  </si>
  <si>
    <t>MOYA VALLADARES MARCO</t>
  </si>
  <si>
    <t>13.963.555-8</t>
  </si>
  <si>
    <t>RAPIMÁN FILGUEIRA GABINO</t>
  </si>
  <si>
    <t>15.019.828-3</t>
  </si>
  <si>
    <t>TRONCOSO ACEVEDO RODRIGO</t>
  </si>
  <si>
    <t>20.015.904-7</t>
  </si>
  <si>
    <t>CÁRDENAS CID ELIA</t>
  </si>
  <si>
    <t>15.576.227-6</t>
  </si>
  <si>
    <t>16.563.476-4</t>
  </si>
  <si>
    <t>SÁEZ VÁSQUEZ JUAN RUBÉN</t>
  </si>
  <si>
    <t>15.979.600-0</t>
  </si>
  <si>
    <t>YAMPARA GUTIÉRREZ HERNÁN</t>
  </si>
  <si>
    <t>17.672.295-9</t>
  </si>
  <si>
    <t>FUENZALIDA RIFFO MARIANELA</t>
  </si>
  <si>
    <t>19.301.322-8</t>
  </si>
  <si>
    <t>RÍOS IBACACHE MARÍA PAZ</t>
  </si>
  <si>
    <t>CASTILLO BRIONES ROSA</t>
  </si>
  <si>
    <t>18.498.553-5</t>
  </si>
  <si>
    <t>VERGARA MARTINEZ VALERIA</t>
  </si>
  <si>
    <t>13.400.262-K</t>
  </si>
  <si>
    <t>TRONCOSO ARAYA DANIELA</t>
  </si>
  <si>
    <t>ALEMAN MAITA RINA ZORET</t>
  </si>
  <si>
    <t>18.860.080-K</t>
  </si>
  <si>
    <t>ANDRADE MILLAPÁN CAROLINA</t>
  </si>
  <si>
    <t>18885936-4</t>
  </si>
  <si>
    <t>13657298-9</t>
  </si>
  <si>
    <t>16214218-6</t>
  </si>
  <si>
    <t>16955341-6</t>
  </si>
  <si>
    <t>18838000-K</t>
  </si>
  <si>
    <t>18591146-2</t>
  </si>
  <si>
    <t>11918733-8</t>
  </si>
  <si>
    <t>14224510-8</t>
  </si>
  <si>
    <t>15267449-k</t>
  </si>
  <si>
    <t>18886095-8</t>
  </si>
  <si>
    <t>15552382-4</t>
  </si>
  <si>
    <t>17397217-2</t>
  </si>
  <si>
    <t>19087346-3</t>
  </si>
  <si>
    <t>26920609-8</t>
  </si>
  <si>
    <t>14224469-1</t>
  </si>
  <si>
    <t>12745391-8</t>
  </si>
  <si>
    <t>17329089-9</t>
  </si>
  <si>
    <t>15993993-6</t>
  </si>
  <si>
    <t>9557575-7</t>
  </si>
  <si>
    <t>9214380-5</t>
  </si>
  <si>
    <t>20.494.285-4</t>
  </si>
  <si>
    <t>BERROCAL PEÑA CAROLA</t>
  </si>
  <si>
    <t>19.272.580-5</t>
  </si>
  <si>
    <t>CANTIDAD HORAS   25 %</t>
  </si>
  <si>
    <t>CANTIDAD HORAS   50 %</t>
  </si>
  <si>
    <t>18288255-0</t>
  </si>
  <si>
    <t>20316132-8</t>
  </si>
  <si>
    <t>16214484-7</t>
  </si>
  <si>
    <t>13816685-6</t>
  </si>
  <si>
    <t>15267406-6</t>
  </si>
  <si>
    <t>18609499-9</t>
  </si>
  <si>
    <t>20.023.739-0</t>
  </si>
  <si>
    <t>FUENTEALBA SALGADO CAROLINA</t>
  </si>
  <si>
    <t>KRAMPS ORTEGA DENNIS</t>
  </si>
  <si>
    <t>9.557.575-7</t>
  </si>
  <si>
    <t>GATICA FIGUEROA CARLOS</t>
  </si>
  <si>
    <t>17.084.310-k</t>
  </si>
  <si>
    <t xml:space="preserve">SAGAS SOTOMAYOR DOMINIQUE </t>
  </si>
  <si>
    <t>17.652.989-k</t>
  </si>
  <si>
    <t xml:space="preserve">SANTANA AYALA JOSELYNE </t>
  </si>
  <si>
    <t>20.316.132-8</t>
  </si>
  <si>
    <t>CASTILLO SEPULVEDA JAVIER</t>
  </si>
  <si>
    <t>26.920.609-8</t>
  </si>
  <si>
    <t>GONZALES RODRIGUEZ ARLENIS</t>
  </si>
  <si>
    <t>MORALES ORTIZ KARINA</t>
  </si>
  <si>
    <t>19274919-0</t>
  </si>
  <si>
    <t>18722080-7</t>
  </si>
  <si>
    <t>15849908-8</t>
  </si>
  <si>
    <t>13.784.315-3</t>
  </si>
  <si>
    <t>CALQUIN MUÑOZ MANUEL</t>
  </si>
  <si>
    <t>16.214.484-7</t>
  </si>
  <si>
    <t>FUENTEALBA FUENTEALBA BLAS</t>
  </si>
  <si>
    <t>14.094.473-K</t>
  </si>
  <si>
    <t xml:space="preserve">CARDENAS HENRIQUEZ KAREN </t>
  </si>
  <si>
    <t>CABEZAS ORELLANA BÁRBARA</t>
  </si>
  <si>
    <t>16920666-K</t>
  </si>
  <si>
    <t>GARCÍA ASCENCIO TANIA</t>
  </si>
  <si>
    <t>17.323.678-6</t>
  </si>
  <si>
    <t>13.657.298-9</t>
  </si>
  <si>
    <t>CASTILLO BRIONES MARÍA CECILIA</t>
  </si>
  <si>
    <t>ROJAS AGUILAR FEÑA</t>
  </si>
  <si>
    <t>15259109-8</t>
  </si>
  <si>
    <t>16685899-2</t>
  </si>
  <si>
    <t>17324008-2</t>
  </si>
  <si>
    <t>BUSTOS ROA SONIA</t>
  </si>
  <si>
    <t>16.830.071-9</t>
  </si>
  <si>
    <t>16.693.751-5</t>
  </si>
  <si>
    <t>15.551.195-8</t>
  </si>
  <si>
    <t>18.722.080-7</t>
  </si>
  <si>
    <t>12.745.391-8</t>
  </si>
  <si>
    <t>12.107.609-8</t>
  </si>
  <si>
    <t>16.374.843-6</t>
  </si>
  <si>
    <t>ABARZÚA HENRIQUEZ CAROLINA</t>
  </si>
  <si>
    <t>MELLA CARRIEL CECILIA</t>
  </si>
  <si>
    <t>9.367.849-4</t>
  </si>
  <si>
    <t>TREJOS VARGAS VLADIMIR</t>
  </si>
  <si>
    <t xml:space="preserve">MEZA BRENET GONZALO </t>
  </si>
  <si>
    <t xml:space="preserve">VIDAL LIZAMA VALENTINA </t>
  </si>
  <si>
    <t xml:space="preserve">GARCÍA PEÑA BERNARDITA </t>
  </si>
  <si>
    <t>15551195-8</t>
  </si>
  <si>
    <t>18.517.554-5</t>
  </si>
  <si>
    <t>16.869.496-2</t>
  </si>
  <si>
    <t>13.837.335-5</t>
  </si>
  <si>
    <t>CARCAMO ROMERO IVONNE</t>
  </si>
  <si>
    <t>SOTO NAVARRETE FRANCISCA</t>
  </si>
  <si>
    <t>JARAMILLO MARIPAN PATRICIA</t>
  </si>
  <si>
    <t>VOTTERO SAGREDO JONATHAN</t>
  </si>
  <si>
    <t>18.131.174-1</t>
  </si>
  <si>
    <t>15.293.253-7</t>
  </si>
  <si>
    <t>RIOS GONZALEZ ALEJANDRA</t>
  </si>
  <si>
    <t>19.272.170-9</t>
  </si>
  <si>
    <t>HUENUÁN ALVAREZ CATERINE</t>
  </si>
  <si>
    <t>16.870.742-8</t>
  </si>
  <si>
    <t xml:space="preserve">GONZALEZ AGUILAR CAROLINA PAOLA </t>
  </si>
  <si>
    <t>ABARZÚA SALGADO MICHELLE</t>
  </si>
  <si>
    <t>15266874-0</t>
  </si>
  <si>
    <t>15349441-8</t>
  </si>
  <si>
    <t>20.315.254-K</t>
  </si>
  <si>
    <t>CARO ROA NICOLAS</t>
  </si>
  <si>
    <t>BALMACEDA FAUNDEZ SILVANA</t>
  </si>
  <si>
    <t>MUÑOZ VALDEBENITO CYNTYA</t>
  </si>
  <si>
    <t>19089633-1</t>
  </si>
  <si>
    <t xml:space="preserve">REYES SABAG NAZIRA </t>
  </si>
  <si>
    <t>16263229-9</t>
  </si>
  <si>
    <t xml:space="preserve">ZUÑIGA CANALES FELIPE </t>
  </si>
  <si>
    <t>17324190-9</t>
  </si>
  <si>
    <t>16490061-4</t>
  </si>
  <si>
    <t xml:space="preserve">ALARCON VALDEBENITO PAULA </t>
  </si>
  <si>
    <t>18.289.356-0</t>
  </si>
  <si>
    <t>18.289.098-7</t>
  </si>
  <si>
    <t xml:space="preserve">SARAVIA CORONADO DANIELA </t>
  </si>
  <si>
    <t>18.694.606-5</t>
  </si>
  <si>
    <t>KRAMPS ORTEGA PAULA</t>
  </si>
  <si>
    <t>13.889.848-2</t>
  </si>
  <si>
    <t>DURAN ROMERO MARTA</t>
  </si>
  <si>
    <t>16214251-8</t>
  </si>
  <si>
    <t>13159924-2</t>
  </si>
  <si>
    <t>18.152.912-1</t>
  </si>
  <si>
    <t xml:space="preserve">RUIZ LOPEZ CARLA </t>
  </si>
  <si>
    <t>11.410.011-0</t>
  </si>
  <si>
    <t xml:space="preserve">MERA LILLO DORIS </t>
  </si>
  <si>
    <t>SALDIVIA VALDEBENITO CLAUDIA</t>
  </si>
  <si>
    <t>MARIPÁN MARIPAN ROSA</t>
  </si>
  <si>
    <t>7.873.333-0</t>
  </si>
  <si>
    <t xml:space="preserve">PONCE LOPEZ JOSE </t>
  </si>
  <si>
    <t>18498553-5</t>
  </si>
  <si>
    <t>19971645-K</t>
  </si>
  <si>
    <t>13784315-3</t>
  </si>
  <si>
    <t>13586269-k</t>
  </si>
  <si>
    <t>14094730-k</t>
  </si>
  <si>
    <t>9021889-1</t>
  </si>
  <si>
    <t>10968609-3</t>
  </si>
  <si>
    <t>11856459-6</t>
  </si>
  <si>
    <t>17742717-9</t>
  </si>
  <si>
    <t>AZOCAR MOLINA PAOLA</t>
  </si>
  <si>
    <t>CACHAÑA CURILLANCA MARGARITA</t>
  </si>
  <si>
    <t>18789228-7</t>
  </si>
  <si>
    <t>14057259-4</t>
  </si>
  <si>
    <t>VALDES RODRIGUEZ MARITZA</t>
  </si>
  <si>
    <t>13816567-1</t>
  </si>
  <si>
    <t>MONSALBE SEGUEL MARIOLY</t>
  </si>
  <si>
    <t>16817257-5</t>
  </si>
  <si>
    <t>20.49.4392-3</t>
  </si>
  <si>
    <t xml:space="preserve">JAQUE REYES CATALINA </t>
  </si>
  <si>
    <t>8.755.358-2</t>
  </si>
  <si>
    <t>MELLA CARRIEL JEANETTE</t>
  </si>
  <si>
    <t>18.099.603-6</t>
  </si>
  <si>
    <t>11.589.854-K</t>
  </si>
  <si>
    <t xml:space="preserve">SALINAS TOPP LORENA </t>
  </si>
  <si>
    <t>JAQUE ARRIAGADA CECILIA</t>
  </si>
  <si>
    <t>12410122-0</t>
  </si>
  <si>
    <t xml:space="preserve">CESPESDES ARNES NANCY </t>
  </si>
  <si>
    <t>21.192.629-5</t>
  </si>
  <si>
    <t>COFRE HUENUÑIR NAYELI</t>
  </si>
  <si>
    <t>19623413-6</t>
  </si>
  <si>
    <t>20.023.947-4</t>
  </si>
  <si>
    <t xml:space="preserve">LAFUENTE QUEZADA ALVARO </t>
  </si>
  <si>
    <t>18.885.582-2</t>
  </si>
  <si>
    <t xml:space="preserve">Bravo </t>
  </si>
  <si>
    <t>Vidal</t>
  </si>
  <si>
    <t>Meza</t>
  </si>
  <si>
    <t>Gutierrez</t>
  </si>
  <si>
    <t>Olave</t>
  </si>
  <si>
    <t>Castillo</t>
  </si>
  <si>
    <t>Bustos</t>
  </si>
  <si>
    <t>Rivas</t>
  </si>
  <si>
    <t>Calquin</t>
  </si>
  <si>
    <t>Cortez</t>
  </si>
  <si>
    <t>Belmar</t>
  </si>
  <si>
    <t>Cerda</t>
  </si>
  <si>
    <t>Natalia</t>
  </si>
  <si>
    <t>Cárcamo</t>
  </si>
  <si>
    <t>Martin</t>
  </si>
  <si>
    <t>Barría</t>
  </si>
  <si>
    <t>Leiva</t>
  </si>
  <si>
    <t>Figueroa</t>
  </si>
  <si>
    <t>Coronado</t>
  </si>
  <si>
    <t>Ramos</t>
  </si>
  <si>
    <t>Sandoval</t>
  </si>
  <si>
    <t>Durán</t>
  </si>
  <si>
    <t>Sanhueza</t>
  </si>
  <si>
    <t>Troncoso</t>
  </si>
  <si>
    <t>Elua</t>
  </si>
  <si>
    <t>Miranda</t>
  </si>
  <si>
    <t>Jara</t>
  </si>
  <si>
    <t>Fuentealba</t>
  </si>
  <si>
    <t>González</t>
  </si>
  <si>
    <t>Barbara</t>
  </si>
  <si>
    <t>Cifuentes</t>
  </si>
  <si>
    <t>Bernardita</t>
  </si>
  <si>
    <t>Puente</t>
  </si>
  <si>
    <t>Maripán</t>
  </si>
  <si>
    <t>Salas</t>
  </si>
  <si>
    <t>Carlos</t>
  </si>
  <si>
    <t>Labraña</t>
  </si>
  <si>
    <t>Silva</t>
  </si>
  <si>
    <t>Oscar</t>
  </si>
  <si>
    <t>Tropa</t>
  </si>
  <si>
    <t>Manquel</t>
  </si>
  <si>
    <t>Gonzalez</t>
  </si>
  <si>
    <t>Maturana</t>
  </si>
  <si>
    <t>Lizama</t>
  </si>
  <si>
    <t>Brenet</t>
  </si>
  <si>
    <t>Verra</t>
  </si>
  <si>
    <t>Espinoza</t>
  </si>
  <si>
    <t>Briones</t>
  </si>
  <si>
    <t>Roa</t>
  </si>
  <si>
    <t>Escobar</t>
  </si>
  <si>
    <t>Muñoz</t>
  </si>
  <si>
    <t>Raimilla</t>
  </si>
  <si>
    <t>Fernández</t>
  </si>
  <si>
    <t>Rivera</t>
  </si>
  <si>
    <t>Saavedra</t>
  </si>
  <si>
    <t>Alejandra</t>
  </si>
  <si>
    <t>Quilapán</t>
  </si>
  <si>
    <t>Jerez</t>
  </si>
  <si>
    <t>Navarrete</t>
  </si>
  <si>
    <t>Reyes</t>
  </si>
  <si>
    <t>Andrade</t>
  </si>
  <si>
    <t>Rodriguez</t>
  </si>
  <si>
    <t>Cretton</t>
  </si>
  <si>
    <t>Romero</t>
  </si>
  <si>
    <t>Ulloa</t>
  </si>
  <si>
    <t>Vasquez</t>
  </si>
  <si>
    <t>Vega</t>
  </si>
  <si>
    <t>Riffo</t>
  </si>
  <si>
    <t>Gatica</t>
  </si>
  <si>
    <t>Llancaleo</t>
  </si>
  <si>
    <t>Sepulveda</t>
  </si>
  <si>
    <t>Rodríguez</t>
  </si>
  <si>
    <t>Hernández</t>
  </si>
  <si>
    <t>Nahuel</t>
  </si>
  <si>
    <t>Márquez</t>
  </si>
  <si>
    <t>Olmos</t>
  </si>
  <si>
    <t>Velasquez</t>
  </si>
  <si>
    <t>Obreque</t>
  </si>
  <si>
    <t>Quintrel</t>
  </si>
  <si>
    <t>Valentina</t>
  </si>
  <si>
    <t>Gonzalo</t>
  </si>
  <si>
    <t>Catalina</t>
  </si>
  <si>
    <t>Camila</t>
  </si>
  <si>
    <t>Diego</t>
  </si>
  <si>
    <t>Marcela</t>
  </si>
  <si>
    <t>Fabrizio</t>
  </si>
  <si>
    <t>Manuel</t>
  </si>
  <si>
    <t>Macarena</t>
  </si>
  <si>
    <t>Brenda</t>
  </si>
  <si>
    <t>Eduardo</t>
  </si>
  <si>
    <t>Erika</t>
  </si>
  <si>
    <t>Patricio</t>
  </si>
  <si>
    <t>María</t>
  </si>
  <si>
    <t>Maricel</t>
  </si>
  <si>
    <t>Ivan</t>
  </si>
  <si>
    <t>Pamela</t>
  </si>
  <si>
    <t>Fabiola</t>
  </si>
  <si>
    <t>Rene</t>
  </si>
  <si>
    <t>Nixi</t>
  </si>
  <si>
    <t>Marta</t>
  </si>
  <si>
    <t>Lucerina</t>
  </si>
  <si>
    <t>Danna</t>
  </si>
  <si>
    <t>Yanela</t>
  </si>
  <si>
    <t>Tamara</t>
  </si>
  <si>
    <t>Mónica</t>
  </si>
  <si>
    <t>Rosa</t>
  </si>
  <si>
    <t>Javier</t>
  </si>
  <si>
    <t>Blas</t>
  </si>
  <si>
    <t>Arlenis</t>
  </si>
  <si>
    <t>Paulina</t>
  </si>
  <si>
    <t>Erwin</t>
  </si>
  <si>
    <t>Mariela</t>
  </si>
  <si>
    <t>Mario</t>
  </si>
  <si>
    <t>Sergio</t>
  </si>
  <si>
    <t>Luis</t>
  </si>
  <si>
    <t>Luz</t>
  </si>
  <si>
    <t>Yessica</t>
  </si>
  <si>
    <t>Isamir</t>
  </si>
  <si>
    <t>Héctor</t>
  </si>
  <si>
    <t xml:space="preserve">APELLIDO PATERNO </t>
  </si>
  <si>
    <t xml:space="preserve">APELLIDO MATERNO </t>
  </si>
  <si>
    <t xml:space="preserve">NOMBRES </t>
  </si>
  <si>
    <t xml:space="preserve">Cabezas </t>
  </si>
  <si>
    <t>Orellana</t>
  </si>
  <si>
    <t xml:space="preserve">Gatica </t>
  </si>
  <si>
    <t xml:space="preserve">Obreque </t>
  </si>
  <si>
    <t xml:space="preserve">Garcia </t>
  </si>
  <si>
    <t xml:space="preserve">Verdugo </t>
  </si>
  <si>
    <t xml:space="preserve">Acosta </t>
  </si>
  <si>
    <t xml:space="preserve">Brizuela </t>
  </si>
  <si>
    <t>Jazmine</t>
  </si>
  <si>
    <t>Retamal</t>
  </si>
  <si>
    <t xml:space="preserve">Maria Cecilia </t>
  </si>
  <si>
    <t>Peña</t>
  </si>
  <si>
    <t xml:space="preserve">Figueroa </t>
  </si>
  <si>
    <t xml:space="preserve">Perez </t>
  </si>
  <si>
    <t>Galdamez</t>
  </si>
  <si>
    <t xml:space="preserve">Cristina </t>
  </si>
  <si>
    <t xml:space="preserve">Seguel </t>
  </si>
  <si>
    <t xml:space="preserve">Torres </t>
  </si>
  <si>
    <t xml:space="preserve">Carolina </t>
  </si>
  <si>
    <t xml:space="preserve">Santiesteban </t>
  </si>
  <si>
    <t>COMUNAL</t>
  </si>
  <si>
    <t>FUERA DE LA COMUNA</t>
  </si>
  <si>
    <t>TOTAL</t>
  </si>
  <si>
    <t>VIATICO COMUNAL</t>
  </si>
  <si>
    <t>MONTO</t>
  </si>
  <si>
    <t>SUBTOTAL 1</t>
  </si>
  <si>
    <t>VIATICO FUERA COMUNA</t>
  </si>
  <si>
    <t>SUBTOTAL 2</t>
  </si>
  <si>
    <t>PASAJERO</t>
  </si>
  <si>
    <t>PASAJE BENCINA</t>
  </si>
  <si>
    <t>SUBTOTAL 3</t>
  </si>
  <si>
    <t xml:space="preserve">OBSERVACION </t>
  </si>
  <si>
    <t>13889848-2</t>
  </si>
  <si>
    <t>19272640-9</t>
  </si>
  <si>
    <t>BASCUR SOTO CONSTANZA</t>
  </si>
  <si>
    <t>17653589-K</t>
  </si>
  <si>
    <t>16102273-K</t>
  </si>
  <si>
    <t>BUSTAMANTE  TROPA VICTORIA</t>
  </si>
  <si>
    <t>18885582-2</t>
  </si>
  <si>
    <t>18517554-5</t>
  </si>
  <si>
    <t>CÁRDENAS HENRIQUEZ KAREN</t>
  </si>
  <si>
    <t>13400640-4</t>
  </si>
  <si>
    <t xml:space="preserve">CARDENAS RIQUELME CLAUDIO </t>
  </si>
  <si>
    <t>CASTILLO BRIONES MARIA CECILIA</t>
  </si>
  <si>
    <t>CÉSPEDES ARNÉS NANCY</t>
  </si>
  <si>
    <t>21192629-5</t>
  </si>
  <si>
    <t>COFRE HUENUÑIR  NAYELI</t>
  </si>
  <si>
    <t>18288912-1</t>
  </si>
  <si>
    <t xml:space="preserve">CORTES CEBALLOS JACQUELINE </t>
  </si>
  <si>
    <t>17972947-4</t>
  </si>
  <si>
    <t>20929564-4</t>
  </si>
  <si>
    <t>CUEVAS RAIN ISABEL</t>
  </si>
  <si>
    <t>16317591-6</t>
  </si>
  <si>
    <t>15225055-K</t>
  </si>
  <si>
    <t xml:space="preserve">GARRIDO ÑANCO KAREN </t>
  </si>
  <si>
    <t>18818522-3</t>
  </si>
  <si>
    <t>16822945-3</t>
  </si>
  <si>
    <t>HERNANDEZ MUÑOZ GABRIEL</t>
  </si>
  <si>
    <t>17860372-8</t>
  </si>
  <si>
    <t>17973145-2</t>
  </si>
  <si>
    <t>20023947-4</t>
  </si>
  <si>
    <t>LAFUENTE QUEZADA ALVARO</t>
  </si>
  <si>
    <t>17802165-6</t>
  </si>
  <si>
    <t>LOPEZ GANGAS CARLOS</t>
  </si>
  <si>
    <t>15359980-7</t>
  </si>
  <si>
    <t>14229363-6</t>
  </si>
  <si>
    <t>19272170-9</t>
  </si>
  <si>
    <t>20025033-8</t>
  </si>
  <si>
    <t>18719135-1</t>
  </si>
  <si>
    <t>26460057-K</t>
  </si>
  <si>
    <t>NUÑEZ LINARES ALFREDO</t>
  </si>
  <si>
    <t>14224819-0</t>
  </si>
  <si>
    <t>OLATE SAAVEDRA JORGE</t>
  </si>
  <si>
    <t>18285568-5</t>
  </si>
  <si>
    <t>OLIVA MERA ANDREA</t>
  </si>
  <si>
    <t>10554781-1</t>
  </si>
  <si>
    <t>PARADA CARRILLO HIRIBERTI</t>
  </si>
  <si>
    <t>18285205-8</t>
  </si>
  <si>
    <t>19623833-6</t>
  </si>
  <si>
    <t>REYES LATORRE CAMILA</t>
  </si>
  <si>
    <t>17084310-K</t>
  </si>
  <si>
    <t>SAGAS SOTOMAYOR DOMINIQUE</t>
  </si>
  <si>
    <t>17652989-K</t>
  </si>
  <si>
    <t xml:space="preserve">SANTANA AYALA JOCELYN </t>
  </si>
  <si>
    <t>9188573-5</t>
  </si>
  <si>
    <t>SOTO MARTÍNEZ RAFAEL SOTO</t>
  </si>
  <si>
    <t>18138439-5</t>
  </si>
  <si>
    <t>17585129-1</t>
  </si>
  <si>
    <t>VALENZUELA ALVAREZ NICOL</t>
  </si>
  <si>
    <t>12973691-7</t>
  </si>
  <si>
    <t xml:space="preserve">VENEGAS CONTRERAS GINA </t>
  </si>
  <si>
    <t>13586073-5</t>
  </si>
  <si>
    <t xml:space="preserve">VENEGAS CONTRERAS PATRICIA </t>
  </si>
  <si>
    <t>16424863-1</t>
  </si>
  <si>
    <t>18286036-0</t>
  </si>
  <si>
    <t>13953678-9</t>
  </si>
  <si>
    <t>CAYUPI CUEVAS CARLA</t>
  </si>
  <si>
    <t xml:space="preserve">ELUA RIFFO TAMARA </t>
  </si>
  <si>
    <t>15849823-5</t>
  </si>
  <si>
    <t>HUEITRA CALFIPAN GLORIA</t>
  </si>
  <si>
    <t>10365330-4</t>
  </si>
  <si>
    <t>MARDONES ABURTO ARMANDO</t>
  </si>
  <si>
    <t>19623643-0</t>
  </si>
  <si>
    <t>MOENNE LOCCOZ OBREQUE VICTORIA</t>
  </si>
  <si>
    <t>18517880-3</t>
  </si>
  <si>
    <t xml:space="preserve">MOENNE LOCCOZ VIVIAN </t>
  </si>
  <si>
    <t>20023601-1</t>
  </si>
  <si>
    <t>RETAMAL LARA CATERINE</t>
  </si>
  <si>
    <t>18289423-0</t>
  </si>
  <si>
    <t>11589744-6</t>
  </si>
  <si>
    <t xml:space="preserve">ARANEDA CASTRO ELSO </t>
  </si>
  <si>
    <t>14224363-6</t>
  </si>
  <si>
    <t xml:space="preserve">Moraga </t>
  </si>
  <si>
    <t>Moraga</t>
  </si>
  <si>
    <t>Elizabeth</t>
  </si>
  <si>
    <t>20155910-3</t>
  </si>
  <si>
    <t xml:space="preserve">Ortiz </t>
  </si>
  <si>
    <t>Fuentes</t>
  </si>
  <si>
    <t>Joaquin</t>
  </si>
  <si>
    <t>10778283-4</t>
  </si>
  <si>
    <t>10963819-6</t>
  </si>
  <si>
    <t>CERNA SANHUEZA GINETTE</t>
  </si>
  <si>
    <t>18724342-4</t>
  </si>
  <si>
    <t>16374843-6</t>
  </si>
  <si>
    <t>19813916-5</t>
  </si>
  <si>
    <t>VEJAR GARDRAT DANIELA</t>
  </si>
  <si>
    <t>20610669-7</t>
  </si>
  <si>
    <t>16835796-6</t>
  </si>
  <si>
    <t>18097775-9</t>
  </si>
  <si>
    <t>NAVARRETE VICTORIA</t>
  </si>
  <si>
    <t>ECICEP</t>
  </si>
  <si>
    <t>VIATICOS FEBRERO 2026</t>
  </si>
  <si>
    <t>18885921-6</t>
  </si>
  <si>
    <t>ALTAMIRANO FLORES DANIELA</t>
  </si>
  <si>
    <t>12116567-8</t>
  </si>
  <si>
    <t>21621230-4</t>
  </si>
  <si>
    <t>FLORES BASCUR ROCIO</t>
  </si>
  <si>
    <t>GONZALEZ AGUILAR CAROLINA</t>
  </si>
  <si>
    <t>18870742-8</t>
  </si>
  <si>
    <t>15264580-5</t>
  </si>
  <si>
    <t>MERA OPORTO NICOLETT</t>
  </si>
  <si>
    <t>16830023-9</t>
  </si>
  <si>
    <t xml:space="preserve">QUINTANA GONZALEZ EXEQUEIL </t>
  </si>
  <si>
    <t xml:space="preserve">ROMERO  RIVERA MATIAS </t>
  </si>
  <si>
    <t>19310043-0</t>
  </si>
  <si>
    <t>17653231-9</t>
  </si>
  <si>
    <t>SEPULVEDA SEPULVEDA MARIBEL</t>
  </si>
  <si>
    <t>20929635-7</t>
  </si>
  <si>
    <t>YOBANOLO GONZALEZ DIEGO</t>
  </si>
  <si>
    <t>CANTIDAD HORAS 50 %</t>
  </si>
  <si>
    <t>FEBRERO 2026</t>
  </si>
  <si>
    <t>HORAS EXTRAS SAR FEBRERO  2026</t>
  </si>
  <si>
    <t>CIRUGIA MENOR FEBRERO 2026</t>
  </si>
  <si>
    <t>CANTIDAD PROCEDIMIENTOS REALIZADOS</t>
  </si>
  <si>
    <t>PROFESION</t>
  </si>
  <si>
    <t>25691467-0</t>
  </si>
  <si>
    <t xml:space="preserve">RAMIREZ KITCHIN JORGE </t>
  </si>
  <si>
    <t>MEDICO</t>
  </si>
  <si>
    <t xml:space="preserve">SEPULVEDA SEULVEDA MARIBEL </t>
  </si>
  <si>
    <t>TENS</t>
  </si>
  <si>
    <t>14591420-5</t>
  </si>
  <si>
    <t xml:space="preserve">ARCOS RUBILAR SUSAN </t>
  </si>
  <si>
    <t xml:space="preserve">TENS </t>
  </si>
  <si>
    <t>CARRASCO URRUTIA CRISS</t>
  </si>
  <si>
    <t>COFRE REBOLLEDO MARIA SOLEDAD</t>
  </si>
  <si>
    <t>20.929.564-4</t>
  </si>
  <si>
    <t>20.233.551-9</t>
  </si>
  <si>
    <t>DELGADILLO VIDAL REBECA</t>
  </si>
  <si>
    <t>21.621.230-4</t>
  </si>
  <si>
    <t>GAJARDO CONCHA FRANCISCO</t>
  </si>
  <si>
    <t>20.494.469-5</t>
  </si>
  <si>
    <t>GARCIA ROSALES MARISOL</t>
  </si>
  <si>
    <t>16,262,991-3</t>
  </si>
  <si>
    <t>MANZANO LLONCON MARCIA</t>
  </si>
  <si>
    <t>13.198.277-1</t>
  </si>
  <si>
    <t xml:space="preserve">OBANDO MADRID ALBA </t>
  </si>
  <si>
    <t xml:space="preserve">QUINTANA GONZALEZ EXEQUIEL </t>
  </si>
  <si>
    <t>17.227.257-1</t>
  </si>
  <si>
    <t xml:space="preserve">RIVERA MENDEZ KARINA </t>
  </si>
  <si>
    <t>18.886.047-8</t>
  </si>
  <si>
    <t xml:space="preserve">TRECANAO TRECANAO CAROLINA </t>
  </si>
  <si>
    <t>VERA ALVAREZ FRANCISCA</t>
  </si>
  <si>
    <t>20.967.362-4</t>
  </si>
  <si>
    <t xml:space="preserve">ZURITA CATRIN BENJAMIN </t>
  </si>
  <si>
    <t>17833611-8</t>
  </si>
  <si>
    <t xml:space="preserve">Allende </t>
  </si>
  <si>
    <t xml:space="preserve">Peña </t>
  </si>
  <si>
    <t>Angela</t>
  </si>
  <si>
    <t>19618096-6</t>
  </si>
  <si>
    <t>Cisternas</t>
  </si>
  <si>
    <t xml:space="preserve">Marin </t>
  </si>
  <si>
    <t>Cecilia</t>
  </si>
  <si>
    <t>11591575-4</t>
  </si>
  <si>
    <t>Martinez</t>
  </si>
  <si>
    <t xml:space="preserve">Cortes </t>
  </si>
  <si>
    <t xml:space="preserve">Juan </t>
  </si>
  <si>
    <t>18.097.775-9</t>
  </si>
  <si>
    <t>16.214.798-6</t>
  </si>
  <si>
    <t>16.262.991-3</t>
  </si>
  <si>
    <t>18.724.342-4</t>
  </si>
  <si>
    <t>16.835.796-6</t>
  </si>
  <si>
    <t>17.973.422-2</t>
  </si>
  <si>
    <t>19.623.833-6</t>
  </si>
  <si>
    <t>HORAS EXTRAS AL 25%</t>
  </si>
  <si>
    <t>20.644.459-2</t>
  </si>
  <si>
    <t xml:space="preserve">ORTEGA ALMONACID GERMAN </t>
  </si>
  <si>
    <t>20.528.439-7</t>
  </si>
  <si>
    <t xml:space="preserve">AEDO INZUNZA FERNANDA </t>
  </si>
  <si>
    <t>HORAS EXTRAS CONVENIO SALUD MENTAL DUPLA SAR</t>
  </si>
  <si>
    <t>ATRASOS FUNCIONARIOS FEBRERO 2026</t>
  </si>
  <si>
    <t>APELLIDOS</t>
  </si>
  <si>
    <t>NOMBRES</t>
  </si>
  <si>
    <t>MINUTOS DE ATRASO</t>
  </si>
  <si>
    <t>8.768.975-1</t>
  </si>
  <si>
    <t>AGUIRRE DOMKE</t>
  </si>
  <si>
    <t>ANDRES ALEJANDRO</t>
  </si>
  <si>
    <t>94 MINUTOS</t>
  </si>
  <si>
    <t>ALVARADO HUENUÑANCO</t>
  </si>
  <si>
    <t>KATHERINE ALEJANDRA</t>
  </si>
  <si>
    <t>17 MINUTOS</t>
  </si>
  <si>
    <t>ARACENA LABBE</t>
  </si>
  <si>
    <t>ARACELY</t>
  </si>
  <si>
    <t>11 MINUTOS</t>
  </si>
  <si>
    <t>AREVALO BALBOA</t>
  </si>
  <si>
    <t>EVELYN KARINA</t>
  </si>
  <si>
    <t>55 MINUTOS</t>
  </si>
  <si>
    <t>BALMACEDA FAUNDEZ</t>
  </si>
  <si>
    <t>SILVANA</t>
  </si>
  <si>
    <t>6 MINUTOS</t>
  </si>
  <si>
    <t>BIOLLEY SOTO</t>
  </si>
  <si>
    <t>FELIPE FABIAN</t>
  </si>
  <si>
    <t>16.102.273-K</t>
  </si>
  <si>
    <t>BUSTAMANTE TROPA</t>
  </si>
  <si>
    <t>MARIA VICTORIA</t>
  </si>
  <si>
    <t>87 MINUTOS</t>
  </si>
  <si>
    <t>CARRASCO URRUTIA</t>
  </si>
  <si>
    <t>CRISS STEPHANIA</t>
  </si>
  <si>
    <t>80 MINUTOS</t>
  </si>
  <si>
    <t>CASTILLO BRIONES</t>
  </si>
  <si>
    <t>MARIA CECILIA</t>
  </si>
  <si>
    <t>102 MINUTOS</t>
  </si>
  <si>
    <t>CERDA RIVERA</t>
  </si>
  <si>
    <t>EDUARDO ANTONIO</t>
  </si>
  <si>
    <t>79 MINUTOS</t>
  </si>
  <si>
    <t>20.494.373-7</t>
  </si>
  <si>
    <t>CONTRERAS LEIVA</t>
  </si>
  <si>
    <t>DANIELA</t>
  </si>
  <si>
    <t>22 MINUTOS</t>
  </si>
  <si>
    <t>16.623.961-8</t>
  </si>
  <si>
    <t>FERREIRA ROSAS</t>
  </si>
  <si>
    <t>LEA ESTEFANIE</t>
  </si>
  <si>
    <t>13.951.639-7</t>
  </si>
  <si>
    <t>FISK GARRIDO</t>
  </si>
  <si>
    <t>KENNETH DAVID</t>
  </si>
  <si>
    <t>9 MINUTOS</t>
  </si>
  <si>
    <t>FRITZ SAAVEDRA</t>
  </si>
  <si>
    <t>CAROLINA STEFANIA</t>
  </si>
  <si>
    <t>7 MINUTOS</t>
  </si>
  <si>
    <t>GAJARDO CONCHA</t>
  </si>
  <si>
    <t>FRANCISCO JAVIER</t>
  </si>
  <si>
    <t>47 MINUTOS</t>
  </si>
  <si>
    <t>GONZALEZ LLANCALEO</t>
  </si>
  <si>
    <t>CENIA NATALY</t>
  </si>
  <si>
    <t>44 MINUTOS</t>
  </si>
  <si>
    <t>GONZALEZ SANTIBAÑEZ</t>
  </si>
  <si>
    <t>EDUARDO ALEXI</t>
  </si>
  <si>
    <t>41 MINUTOS</t>
  </si>
  <si>
    <t>GOTERA MARQUEZ</t>
  </si>
  <si>
    <t>HELEN</t>
  </si>
  <si>
    <t>174 MINUTOS</t>
  </si>
  <si>
    <t>15.849.823-5</t>
  </si>
  <si>
    <t>HUEITRA CALFIPAN</t>
  </si>
  <si>
    <t>GLORIA ESTER</t>
  </si>
  <si>
    <t>272 MINUTOS</t>
  </si>
  <si>
    <t>19.681.658-5</t>
  </si>
  <si>
    <t>INAI REYES</t>
  </si>
  <si>
    <t>PAMELA ANELISE</t>
  </si>
  <si>
    <t>15.359.980-7</t>
  </si>
  <si>
    <t>MANCILLA VALENZUELA</t>
  </si>
  <si>
    <t>SISSY GRICEL</t>
  </si>
  <si>
    <t>25 MINUTOS</t>
  </si>
  <si>
    <t>12.746.776-5</t>
  </si>
  <si>
    <t>MANZANO BARRIENTOS</t>
  </si>
  <si>
    <t>RODRIGO ALONSO</t>
  </si>
  <si>
    <t>15.264.580-5</t>
  </si>
  <si>
    <t>MERA OPORTO</t>
  </si>
  <si>
    <t>NICOLETT DEL CARMEN</t>
  </si>
  <si>
    <t>52 MINUTOS</t>
  </si>
  <si>
    <t>MIRANDA AGUILERA</t>
  </si>
  <si>
    <t>ARTURO ELEAZAR</t>
  </si>
  <si>
    <t>36 MINUTOS</t>
  </si>
  <si>
    <t>MORAGA MORAGA</t>
  </si>
  <si>
    <t>ELIZABETH DEL CARMEN</t>
  </si>
  <si>
    <t>12 MINUTOS</t>
  </si>
  <si>
    <t>MOYA VALLADARES</t>
  </si>
  <si>
    <t>MARCO ANTONIO</t>
  </si>
  <si>
    <t>8.571.575-5</t>
  </si>
  <si>
    <t>MUÑOZ BRAVO</t>
  </si>
  <si>
    <t>ANDREA INES</t>
  </si>
  <si>
    <t>38 MINUTOS</t>
  </si>
  <si>
    <t>26.460.057-K</t>
  </si>
  <si>
    <t>NUÑEZ LINARES</t>
  </si>
  <si>
    <t>ALFREDO</t>
  </si>
  <si>
    <t>187 MINUTOS</t>
  </si>
  <si>
    <t>18.285.568-5</t>
  </si>
  <si>
    <t>OLIVA MERA</t>
  </si>
  <si>
    <t>ANDREA ALEJANDRA</t>
  </si>
  <si>
    <t>19.272.365-5</t>
  </si>
  <si>
    <t>PONCE POZAS</t>
  </si>
  <si>
    <t>CYNTIA</t>
  </si>
  <si>
    <t>78 MINUTOS</t>
  </si>
  <si>
    <t>RAMIREZ PINOCHET</t>
  </si>
  <si>
    <t>JAVIERA CONSTANZA</t>
  </si>
  <si>
    <t>ELUA RIFFO</t>
  </si>
  <si>
    <t>TAMARA ALEXANDRA</t>
  </si>
  <si>
    <t>86 MINUTOS</t>
  </si>
  <si>
    <t>REBOLLEDO SANHUEZA</t>
  </si>
  <si>
    <t>BRIGITTE SOLEIL</t>
  </si>
  <si>
    <t>RIOS GONZALEZ</t>
  </si>
  <si>
    <t>ALEJANDRA VIVIANA ISABEL</t>
  </si>
  <si>
    <t>RIVERA BARRA</t>
  </si>
  <si>
    <t>PABLO IVAN</t>
  </si>
  <si>
    <t>17.652.989-K</t>
  </si>
  <si>
    <t>SANTANA AYALA</t>
  </si>
  <si>
    <t>JOCELYNE DANIELA</t>
  </si>
  <si>
    <t>SARAVIA CORONADO</t>
  </si>
  <si>
    <t>DANIELA ALEJANDRA</t>
  </si>
  <si>
    <t>129 MINUTOS</t>
  </si>
  <si>
    <t>SCHMAN VARGAS</t>
  </si>
  <si>
    <t>CLAUDIO ANDRES</t>
  </si>
  <si>
    <t>SILVA MARDONES</t>
  </si>
  <si>
    <t>KARINA ANDREA</t>
  </si>
  <si>
    <t>20 MINUTOS</t>
  </si>
  <si>
    <t>TORRES VEGA</t>
  </si>
  <si>
    <t>CECILIA ANDREA</t>
  </si>
  <si>
    <t>16 MINUTOS</t>
  </si>
  <si>
    <t>TREJOS VARGAS</t>
  </si>
  <si>
    <t>VLADIMIR ALEXI</t>
  </si>
  <si>
    <t>VENEGAS CONTRERAS</t>
  </si>
  <si>
    <t>PATRICIA VIVIANA</t>
  </si>
  <si>
    <t>VERGARA MARTINEZ</t>
  </si>
  <si>
    <t>VALERIA ARACELLI</t>
  </si>
  <si>
    <t>TRONCOSO ARAYA</t>
  </si>
  <si>
    <t>DANIELA NATALIA</t>
  </si>
  <si>
    <t>37 MINUTOS</t>
  </si>
  <si>
    <t>VALENZUELA GAETE</t>
  </si>
  <si>
    <t>TOMAS ANDRES</t>
  </si>
  <si>
    <t>VALENZUELA ALVAREZ</t>
  </si>
  <si>
    <t>NICOL PAMELA</t>
  </si>
  <si>
    <t>40 MINUTOS</t>
  </si>
  <si>
    <t>VERGARA LAFUENTE</t>
  </si>
  <si>
    <t>PAMELA ANDREA</t>
  </si>
  <si>
    <t>70 MINUTOS</t>
  </si>
  <si>
    <t>YAMPARA GUTIERREZ</t>
  </si>
  <si>
    <t>HERNAN CRISTOBAL</t>
  </si>
  <si>
    <t>17.860.372-8</t>
  </si>
  <si>
    <t xml:space="preserve">                                                                                  </t>
  </si>
  <si>
    <t>HORAS EXTRAS 25% CESFAM</t>
  </si>
  <si>
    <t>HORAS EXTRAS 50% CESFAM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</si>
</sst>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[$-F400]h:mm:ss\ AM/PM"/>
  </numFmts>
  <fonts count="30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8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aj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0"/>
      <name val="Arial"/>
      <family val="2"/>
    </font>
    <font>
      <sz val="9"/>
      <color theme="1"/>
      <name val="calibri"/>
      <family val="2"/>
      <scheme val="minor"/>
    </font>
    <font>
      <sz val="11"/>
      <color theme="1"/>
      <name val="Arial Narrow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b/>
      <u/>
      <sz val="12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12"/>
      <color indexed="8"/>
      <name val="calibri"/>
      <family val="2"/>
      <scheme val="major"/>
    </font>
    <font>
      <sz val="12"/>
      <color indexed="8"/>
      <name val="calibri"/>
      <family val="2"/>
      <scheme val="major"/>
    </font>
  </fonts>
  <fills count="12">
    <fill>
      <patternFill patternType="none"/>
    </fill>
    <fill>
      <patternFill patternType="gray125"/>
    </fill>
    <fill>
      <patternFill patternType="solid">
        <fgColor rgb="FF0066CC"/>
        <bgColor rgb="FF0066C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ED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/>
        <bgColor indexed="64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4" fillId="0" borderId="1"/>
    <xf numFmtId="0" fontId="3" fillId="0" borderId="1"/>
    <xf numFmtId="0" fontId="14" fillId="0" borderId="1"/>
    <xf numFmtId="0" fontId="2" fillId="0" borderId="1"/>
  </cellStyleXfs>
  <cellXfs count="102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0" fontId="0" fillId="3" borderId="0" xfId="0" applyFill="1"/>
    <xf numFmtId="0" fontId="0" fillId="0" borderId="2" xfId="0" applyBorder="1"/>
    <xf numFmtId="0" fontId="12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wrapText="1"/>
    </xf>
    <xf numFmtId="0" fontId="0" fillId="5" borderId="7" xfId="0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164" fontId="0" fillId="0" borderId="2" xfId="0" applyNumberFormat="1" applyBorder="1"/>
    <xf numFmtId="14" fontId="0" fillId="0" borderId="2" xfId="0" applyNumberFormat="1" applyBorder="1"/>
    <xf numFmtId="0" fontId="9" fillId="0" borderId="2" xfId="0" applyFont="1" applyBorder="1"/>
    <xf numFmtId="165" fontId="0" fillId="0" borderId="2" xfId="0" applyNumberFormat="1" applyBorder="1"/>
    <xf numFmtId="0" fontId="12" fillId="3" borderId="2" xfId="0" applyFont="1" applyFill="1" applyBorder="1" applyAlignment="1">
      <alignment horizontal="left" wrapText="1"/>
    </xf>
    <xf numFmtId="14" fontId="9" fillId="0" borderId="2" xfId="0" applyNumberFormat="1" applyFont="1" applyBorder="1"/>
    <xf numFmtId="0" fontId="0" fillId="3" borderId="1" xfId="0" applyFill="1" applyBorder="1" applyAlignment="1">
      <alignment wrapText="1"/>
    </xf>
    <xf numFmtId="4" fontId="0" fillId="5" borderId="13" xfId="0" applyNumberFormat="1" applyFill="1" applyBorder="1" applyAlignment="1">
      <alignment horizontal="center"/>
    </xf>
    <xf numFmtId="0" fontId="18" fillId="0" borderId="0" xfId="0" applyFont="1"/>
    <xf numFmtId="17" fontId="19" fillId="0" borderId="0" xfId="0" applyNumberFormat="1" applyFont="1"/>
    <xf numFmtId="0" fontId="19" fillId="0" borderId="0" xfId="0" applyFont="1"/>
    <xf numFmtId="3" fontId="19" fillId="0" borderId="0" xfId="0" applyNumberFormat="1" applyFont="1"/>
    <xf numFmtId="3" fontId="18" fillId="0" borderId="0" xfId="0" applyNumberFormat="1" applyFont="1" applyAlignment="1">
      <alignment horizontal="center"/>
    </xf>
    <xf numFmtId="0" fontId="20" fillId="10" borderId="2" xfId="0" applyFont="1" applyFill="1" applyBorder="1" applyAlignment="1">
      <alignment horizontal="center" vertical="center" wrapText="1"/>
    </xf>
    <xf numFmtId="0" fontId="20" fillId="10" borderId="3" xfId="0" applyFont="1" applyFill="1" applyBorder="1" applyAlignment="1">
      <alignment horizontal="center" vertical="center" wrapText="1"/>
    </xf>
    <xf numFmtId="3" fontId="20" fillId="10" borderId="3" xfId="0" applyNumberFormat="1" applyFont="1" applyFill="1" applyBorder="1" applyAlignment="1">
      <alignment horizontal="center" vertical="center" wrapText="1"/>
    </xf>
    <xf numFmtId="3" fontId="20" fillId="10" borderId="2" xfId="0" applyNumberFormat="1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2" xfId="0" applyFont="1" applyBorder="1" applyAlignment="1">
      <alignment vertical="center"/>
    </xf>
    <xf numFmtId="3" fontId="22" fillId="0" borderId="2" xfId="0" applyNumberFormat="1" applyFont="1" applyBorder="1" applyAlignment="1">
      <alignment vertical="center"/>
    </xf>
    <xf numFmtId="3" fontId="22" fillId="0" borderId="2" xfId="0" applyNumberFormat="1" applyFont="1" applyBorder="1" applyAlignment="1">
      <alignment horizontal="right" vertical="center" wrapText="1"/>
    </xf>
    <xf numFmtId="3" fontId="22" fillId="0" borderId="2" xfId="0" applyNumberFormat="1" applyFont="1" applyBorder="1" applyAlignment="1">
      <alignment vertical="center" wrapText="1"/>
    </xf>
    <xf numFmtId="0" fontId="0" fillId="0" borderId="0" xfId="0" applyAlignment="1">
      <alignment vertical="center"/>
    </xf>
    <xf numFmtId="164" fontId="22" fillId="0" borderId="2" xfId="0" applyNumberFormat="1" applyFont="1" applyBorder="1" applyAlignment="1">
      <alignment vertical="center" wrapText="1"/>
    </xf>
    <xf numFmtId="0" fontId="22" fillId="0" borderId="3" xfId="0" applyFont="1" applyBorder="1" applyAlignment="1">
      <alignment vertical="center"/>
    </xf>
    <xf numFmtId="2" fontId="9" fillId="4" borderId="2" xfId="0" applyNumberFormat="1" applyFont="1" applyFill="1" applyBorder="1" applyAlignment="1">
      <alignment horizontal="center"/>
    </xf>
    <xf numFmtId="14" fontId="13" fillId="3" borderId="2" xfId="0" applyNumberFormat="1" applyFont="1" applyFill="1" applyBorder="1" applyAlignment="1">
      <alignment wrapText="1"/>
    </xf>
    <xf numFmtId="1" fontId="0" fillId="3" borderId="2" xfId="0" applyNumberFormat="1" applyFill="1" applyBorder="1" applyAlignment="1">
      <alignment horizontal="right"/>
    </xf>
    <xf numFmtId="14" fontId="24" fillId="3" borderId="2" xfId="0" applyNumberFormat="1" applyFont="1" applyFill="1" applyBorder="1" applyAlignment="1">
      <alignment wrapText="1"/>
    </xf>
    <xf numFmtId="2" fontId="9" fillId="3" borderId="2" xfId="0" applyNumberFormat="1" applyFont="1" applyFill="1" applyBorder="1" applyAlignment="1">
      <alignment horizontal="right"/>
    </xf>
    <xf numFmtId="0" fontId="1" fillId="3" borderId="2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right" wrapText="1"/>
    </xf>
    <xf numFmtId="0" fontId="23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right" vertical="center" wrapText="1"/>
    </xf>
    <xf numFmtId="14" fontId="1" fillId="3" borderId="2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right" vertical="center" wrapText="1"/>
    </xf>
    <xf numFmtId="2" fontId="1" fillId="3" borderId="2" xfId="0" applyNumberFormat="1" applyFont="1" applyFill="1" applyBorder="1" applyAlignment="1">
      <alignment horizontal="right" vertical="center" wrapText="1"/>
    </xf>
    <xf numFmtId="2" fontId="1" fillId="3" borderId="2" xfId="0" applyNumberFormat="1" applyFont="1" applyFill="1" applyBorder="1" applyAlignment="1">
      <alignment horizontal="right" vertical="center"/>
    </xf>
    <xf numFmtId="0" fontId="1" fillId="3" borderId="2" xfId="3" applyFont="1" applyFill="1" applyBorder="1" applyAlignment="1">
      <alignment horizontal="right" vertical="center"/>
    </xf>
    <xf numFmtId="0" fontId="1" fillId="3" borderId="2" xfId="3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left" vertical="center"/>
    </xf>
    <xf numFmtId="2" fontId="9" fillId="3" borderId="2" xfId="0" applyNumberFormat="1" applyFont="1" applyFill="1" applyBorder="1" applyAlignment="1">
      <alignment horizontal="right" vertical="center"/>
    </xf>
    <xf numFmtId="14" fontId="24" fillId="3" borderId="2" xfId="0" applyNumberFormat="1" applyFont="1" applyFill="1" applyBorder="1" applyAlignment="1">
      <alignment vertical="center" wrapText="1"/>
    </xf>
    <xf numFmtId="2" fontId="9" fillId="3" borderId="2" xfId="0" applyNumberFormat="1" applyFont="1" applyFill="1" applyBorder="1" applyAlignment="1">
      <alignment horizontal="center" vertical="center"/>
    </xf>
    <xf numFmtId="2" fontId="24" fillId="3" borderId="2" xfId="0" applyNumberFormat="1" applyFont="1" applyFill="1" applyBorder="1" applyAlignment="1">
      <alignment vertical="center" wrapText="1"/>
    </xf>
    <xf numFmtId="2" fontId="24" fillId="3" borderId="2" xfId="0" applyNumberFormat="1" applyFont="1" applyFill="1" applyBorder="1" applyAlignment="1">
      <alignment horizontal="right" vertical="center" wrapText="1"/>
    </xf>
    <xf numFmtId="0" fontId="25" fillId="3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right" vertical="center"/>
    </xf>
    <xf numFmtId="0" fontId="9" fillId="3" borderId="2" xfId="0" applyFont="1" applyFill="1" applyBorder="1" applyAlignment="1">
      <alignment horizontal="right" vertical="center" wrapText="1"/>
    </xf>
    <xf numFmtId="0" fontId="24" fillId="3" borderId="2" xfId="0" applyFont="1" applyFill="1" applyBorder="1" applyAlignment="1">
      <alignment horizontal="right" vertical="center" wrapText="1"/>
    </xf>
    <xf numFmtId="0" fontId="25" fillId="3" borderId="2" xfId="0" applyFont="1" applyFill="1" applyBorder="1" applyAlignment="1">
      <alignment horizontal="right" vertical="center"/>
    </xf>
    <xf numFmtId="0" fontId="27" fillId="0" borderId="0" xfId="0" applyFont="1"/>
    <xf numFmtId="0" fontId="28" fillId="11" borderId="18" xfId="0" applyFont="1" applyFill="1" applyBorder="1" applyAlignment="1">
      <alignment horizontal="center" vertical="center" wrapText="1"/>
    </xf>
    <xf numFmtId="0" fontId="28" fillId="11" borderId="19" xfId="0" applyFont="1" applyFill="1" applyBorder="1" applyAlignment="1">
      <alignment horizontal="center" vertical="center" wrapText="1"/>
    </xf>
    <xf numFmtId="0" fontId="29" fillId="3" borderId="19" xfId="0" applyFont="1" applyFill="1" applyBorder="1" applyAlignment="1">
      <alignment horizontal="justify" vertical="center" wrapText="1"/>
    </xf>
    <xf numFmtId="0" fontId="29" fillId="3" borderId="19" xfId="0" applyFont="1" applyFill="1" applyBorder="1" applyAlignment="1">
      <alignment horizontal="left" vertical="center" wrapText="1"/>
    </xf>
    <xf numFmtId="0" fontId="29" fillId="3" borderId="18" xfId="0" applyFont="1" applyFill="1" applyBorder="1" applyAlignment="1">
      <alignment horizontal="justify" vertical="center" wrapText="1"/>
    </xf>
    <xf numFmtId="0" fontId="28" fillId="11" borderId="2" xfId="0" applyFont="1" applyFill="1" applyBorder="1" applyAlignment="1">
      <alignment horizontal="center" vertical="center" wrapText="1"/>
    </xf>
    <xf numFmtId="0" fontId="29" fillId="3" borderId="2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/>
    </xf>
    <xf numFmtId="0" fontId="0" fillId="0" borderId="0" xfId="0"/>
    <xf numFmtId="49" fontId="7" fillId="0" borderId="0" xfId="0" applyNumberFormat="1" applyFont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8" fillId="9" borderId="14" xfId="0" applyFont="1" applyFill="1" applyBorder="1" applyAlignment="1">
      <alignment horizontal="center"/>
    </xf>
    <xf numFmtId="0" fontId="18" fillId="9" borderId="15" xfId="0" applyFont="1" applyFill="1" applyBorder="1" applyAlignment="1">
      <alignment horizontal="center"/>
    </xf>
    <xf numFmtId="0" fontId="18" fillId="9" borderId="16" xfId="0" applyFont="1" applyFill="1" applyBorder="1" applyAlignment="1">
      <alignment horizontal="center"/>
    </xf>
    <xf numFmtId="3" fontId="18" fillId="9" borderId="14" xfId="0" applyNumberFormat="1" applyFont="1" applyFill="1" applyBorder="1" applyAlignment="1">
      <alignment horizontal="center"/>
    </xf>
    <xf numFmtId="3" fontId="18" fillId="9" borderId="15" xfId="0" applyNumberFormat="1" applyFont="1" applyFill="1" applyBorder="1" applyAlignment="1">
      <alignment horizontal="center"/>
    </xf>
    <xf numFmtId="3" fontId="18" fillId="9" borderId="16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5" fillId="0" borderId="0" xfId="0" applyFont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0"/>
  <tableStyles count="0" defaultTableStyle="TableStyleMedium2" defaultPivotStyle="PivotStyleLight16"/>
  <colors>
    <mruColors>
      <color rgb="FFFF9966"/>
      <color rgb="FF0033CC"/>
      <color rgb="FF0000FF"/>
      <color rgb="FF1427B4"/>
      <color rgb="FF182FD6"/>
      <color rgb="FF008000"/>
      <color rgb="FFFFFF00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21:A1000"/>
  <sheetViews>
    <sheetView workbookViewId="0"/>
  </sheetViews>
  <sheetFormatPr baseColWidth="10" defaultColWidth="14.42578125" defaultRowHeight="15" customHeight="1" x14ac:dyDescent="0.25"/>
  <cols>
    <col min="1" max="26" width="10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1:A1000"/>
  <sheetViews>
    <sheetView workbookViewId="0"/>
  </sheetViews>
  <sheetFormatPr baseColWidth="10" defaultColWidth="14.42578125" defaultRowHeight="15" customHeight="1" x14ac:dyDescent="0.25"/>
  <cols>
    <col min="1" max="26" width="10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21:A1000"/>
  <sheetViews>
    <sheetView workbookViewId="0"/>
  </sheetViews>
  <sheetFormatPr baseColWidth="10" defaultColWidth="14.42578125" defaultRowHeight="15" customHeight="1" x14ac:dyDescent="0.25"/>
  <cols>
    <col min="1" max="26" width="10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/>
  <dimension ref="A21:A1000"/>
  <sheetViews>
    <sheetView workbookViewId="0"/>
  </sheetViews>
  <sheetFormatPr baseColWidth="10" defaultColWidth="14.42578125" defaultRowHeight="15" customHeight="1" x14ac:dyDescent="0.25"/>
  <cols>
    <col min="1" max="26" width="10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2" filterMode="1">
    <tabColor rgb="FF0070C0"/>
  </sheetPr>
  <dimension ref="A1:E957"/>
  <sheetViews>
    <sheetView zoomScaleNormal="100" workbookViewId="0">
      <selection activeCell="H39" sqref="H39"/>
    </sheetView>
  </sheetViews>
  <sheetFormatPr baseColWidth="10" defaultColWidth="14.42578125" defaultRowHeight="15" customHeight="1" x14ac:dyDescent="0.25"/>
  <cols>
    <col min="1" max="1" width="12.85546875" style="3" customWidth="1"/>
    <col min="2" max="2" width="38" customWidth="1"/>
    <col min="3" max="3" width="11.28515625" style="3" customWidth="1"/>
    <col min="4" max="6" width="11.42578125" customWidth="1"/>
    <col min="7" max="26" width="10" customWidth="1"/>
  </cols>
  <sheetData>
    <row r="1" spans="1:5" ht="15.75" customHeight="1" x14ac:dyDescent="0.25">
      <c r="A1" s="81" t="s">
        <v>957</v>
      </c>
      <c r="B1" s="82"/>
      <c r="C1" s="82"/>
      <c r="D1" s="82"/>
      <c r="E1" s="82"/>
    </row>
    <row r="2" spans="1:5" ht="15.75" customHeight="1" x14ac:dyDescent="0.25">
      <c r="A2" s="83" t="s">
        <v>750</v>
      </c>
      <c r="B2" s="83"/>
      <c r="C2" s="83"/>
      <c r="D2" s="83"/>
      <c r="E2" s="83"/>
    </row>
    <row r="4" spans="1:5" ht="44.25" customHeight="1" x14ac:dyDescent="0.25">
      <c r="A4" s="4" t="s">
        <v>0</v>
      </c>
      <c r="B4" s="4" t="s">
        <v>1</v>
      </c>
      <c r="C4" s="4" t="s">
        <v>25</v>
      </c>
      <c r="D4" s="4" t="s">
        <v>3</v>
      </c>
      <c r="E4" s="4" t="s">
        <v>4</v>
      </c>
    </row>
    <row r="5" spans="1:5" s="6" customFormat="1" ht="15" customHeight="1" x14ac:dyDescent="0.25">
      <c r="A5" s="51" t="s">
        <v>163</v>
      </c>
      <c r="B5" s="49" t="s">
        <v>392</v>
      </c>
      <c r="C5" s="57">
        <v>21.3</v>
      </c>
      <c r="D5" s="52">
        <v>46038</v>
      </c>
      <c r="E5" s="52">
        <v>46068</v>
      </c>
    </row>
    <row r="6" spans="1:5" s="6" customFormat="1" ht="15" hidden="1" customHeight="1" x14ac:dyDescent="0.25">
      <c r="A6" s="55" t="s">
        <v>386</v>
      </c>
      <c r="B6" s="53" t="s">
        <v>414</v>
      </c>
      <c r="C6" s="57"/>
      <c r="D6" s="52">
        <v>46038</v>
      </c>
      <c r="E6" s="52">
        <v>46068</v>
      </c>
    </row>
    <row r="7" spans="1:5" s="6" customFormat="1" ht="15" hidden="1" customHeight="1" x14ac:dyDescent="0.25">
      <c r="A7" s="55" t="s">
        <v>102</v>
      </c>
      <c r="B7" s="53" t="s">
        <v>103</v>
      </c>
      <c r="C7" s="57"/>
      <c r="D7" s="52">
        <v>46038</v>
      </c>
      <c r="E7" s="52">
        <v>46068</v>
      </c>
    </row>
    <row r="8" spans="1:5" s="6" customFormat="1" ht="15" hidden="1" customHeight="1" x14ac:dyDescent="0.25">
      <c r="A8" s="51" t="s">
        <v>116</v>
      </c>
      <c r="B8" s="49" t="s">
        <v>117</v>
      </c>
      <c r="C8" s="56"/>
      <c r="D8" s="52">
        <v>46038</v>
      </c>
      <c r="E8" s="52">
        <v>46068</v>
      </c>
    </row>
    <row r="9" spans="1:5" s="6" customFormat="1" ht="15" customHeight="1" x14ac:dyDescent="0.25">
      <c r="A9" s="54" t="s">
        <v>428</v>
      </c>
      <c r="B9" s="50" t="s">
        <v>427</v>
      </c>
      <c r="C9" s="56">
        <v>3</v>
      </c>
      <c r="D9" s="52">
        <v>46038</v>
      </c>
      <c r="E9" s="52">
        <v>46068</v>
      </c>
    </row>
    <row r="10" spans="1:5" s="6" customFormat="1" ht="15" hidden="1" customHeight="1" x14ac:dyDescent="0.25">
      <c r="A10" s="55" t="s">
        <v>274</v>
      </c>
      <c r="B10" s="50" t="s">
        <v>317</v>
      </c>
      <c r="C10" s="56"/>
      <c r="D10" s="52">
        <v>46038</v>
      </c>
      <c r="E10" s="52">
        <v>46068</v>
      </c>
    </row>
    <row r="11" spans="1:5" s="6" customFormat="1" ht="15" customHeight="1" x14ac:dyDescent="0.25">
      <c r="A11" s="55" t="s">
        <v>139</v>
      </c>
      <c r="B11" s="53" t="s">
        <v>140</v>
      </c>
      <c r="C11" s="57">
        <v>22.1</v>
      </c>
      <c r="D11" s="52">
        <v>46038</v>
      </c>
      <c r="E11" s="52">
        <v>46068</v>
      </c>
    </row>
    <row r="12" spans="1:5" s="6" customFormat="1" ht="15" hidden="1" customHeight="1" x14ac:dyDescent="0.25">
      <c r="A12" s="51" t="s">
        <v>318</v>
      </c>
      <c r="B12" s="49" t="s">
        <v>319</v>
      </c>
      <c r="C12" s="56"/>
      <c r="D12" s="52">
        <v>46038</v>
      </c>
      <c r="E12" s="52">
        <v>46068</v>
      </c>
    </row>
    <row r="13" spans="1:5" s="6" customFormat="1" ht="15" hidden="1" customHeight="1" x14ac:dyDescent="0.25">
      <c r="A13" s="55" t="s">
        <v>206</v>
      </c>
      <c r="B13" s="53" t="s">
        <v>224</v>
      </c>
      <c r="C13" s="57"/>
      <c r="D13" s="52">
        <v>46038</v>
      </c>
      <c r="E13" s="52">
        <v>46068</v>
      </c>
    </row>
    <row r="14" spans="1:5" s="6" customFormat="1" ht="15" hidden="1" customHeight="1" x14ac:dyDescent="0.25">
      <c r="A14" s="51" t="s">
        <v>238</v>
      </c>
      <c r="B14" s="53" t="s">
        <v>227</v>
      </c>
      <c r="C14" s="57"/>
      <c r="D14" s="52">
        <v>46038</v>
      </c>
      <c r="E14" s="52">
        <v>46068</v>
      </c>
    </row>
    <row r="15" spans="1:5" s="6" customFormat="1" ht="15" customHeight="1" x14ac:dyDescent="0.25">
      <c r="A15" s="55" t="s">
        <v>112</v>
      </c>
      <c r="B15" s="53" t="s">
        <v>113</v>
      </c>
      <c r="C15" s="57">
        <v>19.2</v>
      </c>
      <c r="D15" s="52">
        <v>46038</v>
      </c>
      <c r="E15" s="52">
        <v>46068</v>
      </c>
    </row>
    <row r="16" spans="1:5" s="6" customFormat="1" ht="15" hidden="1" customHeight="1" x14ac:dyDescent="0.25">
      <c r="A16" s="55" t="s">
        <v>230</v>
      </c>
      <c r="B16" s="50" t="s">
        <v>231</v>
      </c>
      <c r="C16" s="56"/>
      <c r="D16" s="52">
        <v>46038</v>
      </c>
      <c r="E16" s="52">
        <v>46068</v>
      </c>
    </row>
    <row r="17" spans="1:5" s="6" customFormat="1" ht="15" hidden="1" customHeight="1" x14ac:dyDescent="0.25">
      <c r="A17" s="51" t="s">
        <v>127</v>
      </c>
      <c r="B17" s="49" t="s">
        <v>128</v>
      </c>
      <c r="C17" s="57"/>
      <c r="D17" s="52">
        <v>46038</v>
      </c>
      <c r="E17" s="52">
        <v>46068</v>
      </c>
    </row>
    <row r="18" spans="1:5" s="6" customFormat="1" ht="15" hidden="1" customHeight="1" x14ac:dyDescent="0.25">
      <c r="A18" s="55" t="s">
        <v>204</v>
      </c>
      <c r="B18" s="53" t="s">
        <v>205</v>
      </c>
      <c r="C18" s="57"/>
      <c r="D18" s="52">
        <v>46038</v>
      </c>
      <c r="E18" s="52">
        <v>46068</v>
      </c>
    </row>
    <row r="19" spans="1:5" s="6" customFormat="1" ht="15" hidden="1" customHeight="1" x14ac:dyDescent="0.25">
      <c r="A19" s="51" t="s">
        <v>176</v>
      </c>
      <c r="B19" s="49" t="s">
        <v>177</v>
      </c>
      <c r="C19" s="56"/>
      <c r="D19" s="52">
        <v>46038</v>
      </c>
      <c r="E19" s="52">
        <v>46068</v>
      </c>
    </row>
    <row r="20" spans="1:5" s="6" customFormat="1" ht="15" customHeight="1" x14ac:dyDescent="0.25">
      <c r="A20" s="51" t="s">
        <v>189</v>
      </c>
      <c r="B20" s="53" t="s">
        <v>190</v>
      </c>
      <c r="C20" s="57">
        <v>1</v>
      </c>
      <c r="D20" s="52">
        <v>46038</v>
      </c>
      <c r="E20" s="52">
        <v>46068</v>
      </c>
    </row>
    <row r="21" spans="1:5" s="6" customFormat="1" ht="15" customHeight="1" x14ac:dyDescent="0.25">
      <c r="A21" s="51" t="s">
        <v>433</v>
      </c>
      <c r="B21" s="49" t="s">
        <v>419</v>
      </c>
      <c r="C21" s="57">
        <v>7</v>
      </c>
      <c r="D21" s="52">
        <v>46038</v>
      </c>
      <c r="E21" s="52">
        <v>46068</v>
      </c>
    </row>
    <row r="22" spans="1:5" s="6" customFormat="1" ht="15" hidden="1" customHeight="1" x14ac:dyDescent="0.25">
      <c r="A22" s="54" t="s">
        <v>164</v>
      </c>
      <c r="B22" s="50" t="s">
        <v>165</v>
      </c>
      <c r="C22" s="57"/>
      <c r="D22" s="52">
        <v>46038</v>
      </c>
      <c r="E22" s="52">
        <v>46068</v>
      </c>
    </row>
    <row r="23" spans="1:5" s="6" customFormat="1" ht="15" customHeight="1" x14ac:dyDescent="0.25">
      <c r="A23" s="51" t="s">
        <v>293</v>
      </c>
      <c r="B23" s="49" t="s">
        <v>294</v>
      </c>
      <c r="C23" s="57">
        <v>19.2</v>
      </c>
      <c r="D23" s="52">
        <v>46038</v>
      </c>
      <c r="E23" s="52">
        <v>46068</v>
      </c>
    </row>
    <row r="24" spans="1:5" s="6" customFormat="1" ht="15" hidden="1" customHeight="1" x14ac:dyDescent="0.25">
      <c r="A24" s="51" t="s">
        <v>98</v>
      </c>
      <c r="B24" s="49" t="s">
        <v>99</v>
      </c>
      <c r="C24" s="56"/>
      <c r="D24" s="52">
        <v>46038</v>
      </c>
      <c r="E24" s="52">
        <v>46068</v>
      </c>
    </row>
    <row r="25" spans="1:5" ht="15" customHeight="1" x14ac:dyDescent="0.25">
      <c r="A25" s="51" t="s">
        <v>340</v>
      </c>
      <c r="B25" s="49" t="s">
        <v>341</v>
      </c>
      <c r="C25" s="56">
        <v>9</v>
      </c>
      <c r="D25" s="52">
        <v>46038</v>
      </c>
      <c r="E25" s="52">
        <v>46068</v>
      </c>
    </row>
    <row r="26" spans="1:5" ht="15" hidden="1" customHeight="1" x14ac:dyDescent="0.25">
      <c r="A26" s="51" t="s">
        <v>342</v>
      </c>
      <c r="B26" s="49" t="s">
        <v>269</v>
      </c>
      <c r="C26" s="56"/>
      <c r="D26" s="52">
        <v>46038</v>
      </c>
      <c r="E26" s="52">
        <v>46068</v>
      </c>
    </row>
    <row r="27" spans="1:5" ht="15" hidden="1" customHeight="1" x14ac:dyDescent="0.25">
      <c r="A27" s="51" t="s">
        <v>267</v>
      </c>
      <c r="B27" s="49" t="s">
        <v>268</v>
      </c>
      <c r="C27" s="56"/>
      <c r="D27" s="52">
        <v>46038</v>
      </c>
      <c r="E27" s="52">
        <v>46068</v>
      </c>
    </row>
    <row r="28" spans="1:5" ht="15" customHeight="1" x14ac:dyDescent="0.25">
      <c r="A28" s="51" t="s">
        <v>280</v>
      </c>
      <c r="B28" s="49" t="s">
        <v>281</v>
      </c>
      <c r="C28" s="57">
        <v>7</v>
      </c>
      <c r="D28" s="52">
        <v>46038</v>
      </c>
      <c r="E28" s="52">
        <v>46068</v>
      </c>
    </row>
    <row r="29" spans="1:5" ht="15" hidden="1" customHeight="1" x14ac:dyDescent="0.25">
      <c r="A29" s="51" t="s">
        <v>271</v>
      </c>
      <c r="B29" s="49" t="s">
        <v>272</v>
      </c>
      <c r="C29" s="56"/>
      <c r="D29" s="52">
        <v>46038</v>
      </c>
      <c r="E29" s="52">
        <v>46068</v>
      </c>
    </row>
    <row r="30" spans="1:5" ht="15" customHeight="1" x14ac:dyDescent="0.25">
      <c r="A30" s="54" t="s">
        <v>390</v>
      </c>
      <c r="B30" s="49" t="s">
        <v>384</v>
      </c>
      <c r="C30" s="57">
        <v>9.1999999999999993</v>
      </c>
      <c r="D30" s="52">
        <v>46038</v>
      </c>
      <c r="E30" s="52">
        <v>46068</v>
      </c>
    </row>
    <row r="31" spans="1:5" ht="15" hidden="1" customHeight="1" x14ac:dyDescent="0.25">
      <c r="A31" s="55" t="s">
        <v>254</v>
      </c>
      <c r="B31" s="50" t="s">
        <v>255</v>
      </c>
      <c r="C31" s="56"/>
      <c r="D31" s="52">
        <v>46038</v>
      </c>
      <c r="E31" s="52">
        <v>46068</v>
      </c>
    </row>
    <row r="32" spans="1:5" ht="15" hidden="1" customHeight="1" x14ac:dyDescent="0.25">
      <c r="A32" s="54" t="s">
        <v>166</v>
      </c>
      <c r="B32" s="50" t="s">
        <v>374</v>
      </c>
      <c r="C32" s="57"/>
      <c r="D32" s="52">
        <v>46038</v>
      </c>
      <c r="E32" s="52">
        <v>46068</v>
      </c>
    </row>
    <row r="33" spans="1:5" ht="15" hidden="1" customHeight="1" x14ac:dyDescent="0.25">
      <c r="A33" s="54" t="s">
        <v>477</v>
      </c>
      <c r="B33" s="50" t="s">
        <v>455</v>
      </c>
      <c r="C33" s="57"/>
      <c r="D33" s="52">
        <v>46038</v>
      </c>
      <c r="E33" s="52">
        <v>46068</v>
      </c>
    </row>
    <row r="34" spans="1:5" ht="15" hidden="1" customHeight="1" x14ac:dyDescent="0.25">
      <c r="A34" s="51" t="s">
        <v>368</v>
      </c>
      <c r="B34" s="49" t="s">
        <v>369</v>
      </c>
      <c r="C34" s="56"/>
      <c r="D34" s="52">
        <v>46038</v>
      </c>
      <c r="E34" s="52">
        <v>46068</v>
      </c>
    </row>
    <row r="35" spans="1:5" ht="15" hidden="1" customHeight="1" x14ac:dyDescent="0.25">
      <c r="A35" s="51" t="s">
        <v>121</v>
      </c>
      <c r="B35" s="49" t="s">
        <v>122</v>
      </c>
      <c r="C35" s="57"/>
      <c r="D35" s="52">
        <v>46038</v>
      </c>
      <c r="E35" s="52">
        <v>46068</v>
      </c>
    </row>
    <row r="36" spans="1:5" ht="15" hidden="1" customHeight="1" x14ac:dyDescent="0.25">
      <c r="A36" s="55" t="s">
        <v>402</v>
      </c>
      <c r="B36" s="53" t="s">
        <v>403</v>
      </c>
      <c r="C36" s="57"/>
      <c r="D36" s="52">
        <v>46038</v>
      </c>
      <c r="E36" s="52">
        <v>46068</v>
      </c>
    </row>
    <row r="37" spans="1:5" ht="15" hidden="1" customHeight="1" x14ac:dyDescent="0.25">
      <c r="A37" s="51" t="s">
        <v>301</v>
      </c>
      <c r="B37" s="49" t="s">
        <v>302</v>
      </c>
      <c r="C37" s="57"/>
      <c r="D37" s="52">
        <v>46038</v>
      </c>
      <c r="E37" s="52">
        <v>46068</v>
      </c>
    </row>
    <row r="38" spans="1:5" ht="15" hidden="1" customHeight="1" x14ac:dyDescent="0.25">
      <c r="A38" s="51" t="s">
        <v>400</v>
      </c>
      <c r="B38" s="49" t="s">
        <v>373</v>
      </c>
      <c r="C38" s="56"/>
      <c r="D38" s="52">
        <v>46038</v>
      </c>
      <c r="E38" s="52">
        <v>46068</v>
      </c>
    </row>
    <row r="39" spans="1:5" ht="15" customHeight="1" x14ac:dyDescent="0.25">
      <c r="A39" s="55" t="s">
        <v>26</v>
      </c>
      <c r="B39" s="53" t="s">
        <v>27</v>
      </c>
      <c r="C39" s="57">
        <v>10</v>
      </c>
      <c r="D39" s="52">
        <v>46038</v>
      </c>
      <c r="E39" s="52">
        <v>46068</v>
      </c>
    </row>
    <row r="40" spans="1:5" ht="15" hidden="1" customHeight="1" x14ac:dyDescent="0.25">
      <c r="A40" s="55" t="s">
        <v>89</v>
      </c>
      <c r="B40" s="50" t="s">
        <v>85</v>
      </c>
      <c r="C40" s="56"/>
      <c r="D40" s="52">
        <v>46038</v>
      </c>
      <c r="E40" s="52">
        <v>46068</v>
      </c>
    </row>
    <row r="41" spans="1:5" ht="15.75" hidden="1" customHeight="1" x14ac:dyDescent="0.25">
      <c r="A41" s="51" t="s">
        <v>417</v>
      </c>
      <c r="B41" s="49" t="s">
        <v>418</v>
      </c>
      <c r="C41" s="56"/>
      <c r="D41" s="52">
        <v>46038</v>
      </c>
      <c r="E41" s="52">
        <v>46068</v>
      </c>
    </row>
    <row r="42" spans="1:5" ht="15" customHeight="1" x14ac:dyDescent="0.25">
      <c r="A42" s="54" t="s">
        <v>466</v>
      </c>
      <c r="B42" s="50" t="s">
        <v>763</v>
      </c>
      <c r="C42" s="57">
        <v>2</v>
      </c>
      <c r="D42" s="52">
        <v>46038</v>
      </c>
      <c r="E42" s="52">
        <v>46068</v>
      </c>
    </row>
    <row r="43" spans="1:5" ht="15.75" hidden="1" customHeight="1" x14ac:dyDescent="0.25">
      <c r="A43" s="51" t="s">
        <v>378</v>
      </c>
      <c r="B43" s="49" t="s">
        <v>379</v>
      </c>
      <c r="C43" s="56"/>
      <c r="D43" s="52">
        <v>46038</v>
      </c>
      <c r="E43" s="52">
        <v>46068</v>
      </c>
    </row>
    <row r="44" spans="1:5" ht="15.75" hidden="1" customHeight="1" x14ac:dyDescent="0.25">
      <c r="A44" s="51" t="s">
        <v>284</v>
      </c>
      <c r="B44" s="49" t="s">
        <v>312</v>
      </c>
      <c r="C44" s="57"/>
      <c r="D44" s="52">
        <v>46038</v>
      </c>
      <c r="E44" s="52">
        <v>46068</v>
      </c>
    </row>
    <row r="45" spans="1:5" ht="15.75" hidden="1" customHeight="1" x14ac:dyDescent="0.25">
      <c r="A45" s="51" t="s">
        <v>360</v>
      </c>
      <c r="B45" s="49" t="s">
        <v>361</v>
      </c>
      <c r="C45" s="57"/>
      <c r="D45" s="52">
        <v>46038</v>
      </c>
      <c r="E45" s="52">
        <v>46068</v>
      </c>
    </row>
    <row r="46" spans="1:5" ht="15" customHeight="1" x14ac:dyDescent="0.25">
      <c r="A46" s="51" t="s">
        <v>797</v>
      </c>
      <c r="B46" s="49" t="s">
        <v>276</v>
      </c>
      <c r="C46" s="57">
        <v>15.4</v>
      </c>
      <c r="D46" s="52">
        <v>46038</v>
      </c>
      <c r="E46" s="52">
        <v>46068</v>
      </c>
    </row>
    <row r="47" spans="1:5" ht="15.75" hidden="1" customHeight="1" x14ac:dyDescent="0.25">
      <c r="A47" s="51" t="s">
        <v>303</v>
      </c>
      <c r="B47" s="49" t="s">
        <v>285</v>
      </c>
      <c r="C47" s="57"/>
      <c r="D47" s="52">
        <v>46038</v>
      </c>
      <c r="E47" s="52">
        <v>46068</v>
      </c>
    </row>
    <row r="48" spans="1:5" ht="15" customHeight="1" x14ac:dyDescent="0.25">
      <c r="A48" s="51" t="s">
        <v>33</v>
      </c>
      <c r="B48" s="49" t="s">
        <v>153</v>
      </c>
      <c r="C48" s="56">
        <v>10</v>
      </c>
      <c r="D48" s="52">
        <v>46038</v>
      </c>
      <c r="E48" s="52">
        <v>46068</v>
      </c>
    </row>
    <row r="49" spans="1:5" ht="15" customHeight="1" x14ac:dyDescent="0.25">
      <c r="A49" s="55" t="s">
        <v>55</v>
      </c>
      <c r="B49" s="53" t="s">
        <v>54</v>
      </c>
      <c r="C49" s="57">
        <v>12</v>
      </c>
      <c r="D49" s="52">
        <v>46038</v>
      </c>
      <c r="E49" s="52">
        <v>46068</v>
      </c>
    </row>
    <row r="50" spans="1:5" ht="15" customHeight="1" x14ac:dyDescent="0.25">
      <c r="A50" s="51" t="s">
        <v>61</v>
      </c>
      <c r="B50" s="49" t="s">
        <v>62</v>
      </c>
      <c r="C50" s="57">
        <v>36.4</v>
      </c>
      <c r="D50" s="52">
        <v>46038</v>
      </c>
      <c r="E50" s="52">
        <v>46068</v>
      </c>
    </row>
    <row r="51" spans="1:5" ht="15.75" hidden="1" customHeight="1" x14ac:dyDescent="0.25">
      <c r="A51" s="51" t="s">
        <v>157</v>
      </c>
      <c r="B51" s="49" t="s">
        <v>156</v>
      </c>
      <c r="C51" s="56"/>
      <c r="D51" s="52">
        <v>46038</v>
      </c>
      <c r="E51" s="52">
        <v>46068</v>
      </c>
    </row>
    <row r="52" spans="1:5" ht="15" customHeight="1" x14ac:dyDescent="0.25">
      <c r="A52" s="51" t="s">
        <v>472</v>
      </c>
      <c r="B52" s="49" t="s">
        <v>473</v>
      </c>
      <c r="C52" s="56">
        <v>1.5</v>
      </c>
      <c r="D52" s="52">
        <v>46038</v>
      </c>
      <c r="E52" s="52">
        <v>46068</v>
      </c>
    </row>
    <row r="53" spans="1:5" ht="15" customHeight="1" x14ac:dyDescent="0.25">
      <c r="A53" s="51" t="s">
        <v>69</v>
      </c>
      <c r="B53" s="49" t="s">
        <v>764</v>
      </c>
      <c r="C53" s="56">
        <v>6.35</v>
      </c>
      <c r="D53" s="52">
        <v>46038</v>
      </c>
      <c r="E53" s="52">
        <v>46068</v>
      </c>
    </row>
    <row r="54" spans="1:5" ht="15.75" hidden="1" customHeight="1" x14ac:dyDescent="0.25">
      <c r="A54" s="51" t="s">
        <v>240</v>
      </c>
      <c r="B54" s="49" t="s">
        <v>241</v>
      </c>
      <c r="C54" s="56"/>
      <c r="D54" s="52">
        <v>46038</v>
      </c>
      <c r="E54" s="52">
        <v>46068</v>
      </c>
    </row>
    <row r="55" spans="1:5" ht="15.75" hidden="1" customHeight="1" x14ac:dyDescent="0.25">
      <c r="A55" s="51" t="s">
        <v>48</v>
      </c>
      <c r="B55" s="49" t="s">
        <v>49</v>
      </c>
      <c r="C55" s="57"/>
      <c r="D55" s="52">
        <v>46038</v>
      </c>
      <c r="E55" s="52">
        <v>46068</v>
      </c>
    </row>
    <row r="56" spans="1:5" ht="15.75" hidden="1" customHeight="1" x14ac:dyDescent="0.25">
      <c r="A56" s="51" t="s">
        <v>29</v>
      </c>
      <c r="B56" s="49" t="s">
        <v>87</v>
      </c>
      <c r="C56" s="56"/>
      <c r="D56" s="52">
        <v>46038</v>
      </c>
      <c r="E56" s="52">
        <v>46068</v>
      </c>
    </row>
    <row r="57" spans="1:5" ht="15.75" hidden="1" customHeight="1" x14ac:dyDescent="0.25">
      <c r="A57" s="51" t="s">
        <v>174</v>
      </c>
      <c r="B57" s="49" t="s">
        <v>175</v>
      </c>
      <c r="C57" s="56"/>
      <c r="D57" s="52">
        <v>46038</v>
      </c>
      <c r="E57" s="52">
        <v>46068</v>
      </c>
    </row>
    <row r="58" spans="1:5" ht="15" customHeight="1" x14ac:dyDescent="0.25">
      <c r="A58" s="51" t="s">
        <v>765</v>
      </c>
      <c r="B58" s="49" t="s">
        <v>651</v>
      </c>
      <c r="C58" s="56">
        <v>16.2</v>
      </c>
      <c r="D58" s="52">
        <v>46038</v>
      </c>
      <c r="E58" s="52">
        <v>46068</v>
      </c>
    </row>
    <row r="59" spans="1:5" ht="15" customHeight="1" x14ac:dyDescent="0.25">
      <c r="A59" s="51" t="s">
        <v>78</v>
      </c>
      <c r="B59" s="53" t="s">
        <v>79</v>
      </c>
      <c r="C59" s="57">
        <v>48.3</v>
      </c>
      <c r="D59" s="52">
        <v>46038</v>
      </c>
      <c r="E59" s="52">
        <v>46068</v>
      </c>
    </row>
    <row r="60" spans="1:5" ht="15" customHeight="1" x14ac:dyDescent="0.25">
      <c r="A60" s="51" t="s">
        <v>766</v>
      </c>
      <c r="B60" s="53" t="s">
        <v>767</v>
      </c>
      <c r="C60" s="57">
        <v>9.1999999999999993</v>
      </c>
      <c r="D60" s="52">
        <v>46038</v>
      </c>
      <c r="E60" s="52">
        <v>46068</v>
      </c>
    </row>
    <row r="61" spans="1:5" ht="15" customHeight="1" x14ac:dyDescent="0.25">
      <c r="A61" s="51" t="s">
        <v>8</v>
      </c>
      <c r="B61" s="49" t="s">
        <v>40</v>
      </c>
      <c r="C61" s="57">
        <v>12.1</v>
      </c>
      <c r="D61" s="52">
        <v>46038</v>
      </c>
      <c r="E61" s="52">
        <v>46068</v>
      </c>
    </row>
    <row r="62" spans="1:5" ht="15" customHeight="1" x14ac:dyDescent="0.25">
      <c r="A62" s="51" t="s">
        <v>313</v>
      </c>
      <c r="B62" s="49" t="s">
        <v>283</v>
      </c>
      <c r="C62" s="57">
        <v>2</v>
      </c>
      <c r="D62" s="52">
        <v>46038</v>
      </c>
      <c r="E62" s="52">
        <v>46068</v>
      </c>
    </row>
    <row r="63" spans="1:5" ht="15" customHeight="1" x14ac:dyDescent="0.25">
      <c r="A63" s="51" t="s">
        <v>9</v>
      </c>
      <c r="B63" s="49" t="s">
        <v>39</v>
      </c>
      <c r="C63" s="57">
        <v>5</v>
      </c>
      <c r="D63" s="52">
        <v>46038</v>
      </c>
      <c r="E63" s="52">
        <v>46068</v>
      </c>
    </row>
    <row r="64" spans="1:5" ht="15" customHeight="1" x14ac:dyDescent="0.25">
      <c r="A64" s="51" t="s">
        <v>195</v>
      </c>
      <c r="B64" s="49" t="s">
        <v>196</v>
      </c>
      <c r="C64" s="57">
        <v>13</v>
      </c>
      <c r="D64" s="52">
        <v>46038</v>
      </c>
      <c r="E64" s="52">
        <v>46068</v>
      </c>
    </row>
    <row r="65" spans="1:5" ht="15.75" hidden="1" customHeight="1" x14ac:dyDescent="0.25">
      <c r="A65" s="51" t="s">
        <v>197</v>
      </c>
      <c r="B65" s="49" t="s">
        <v>198</v>
      </c>
      <c r="C65" s="56"/>
      <c r="D65" s="52">
        <v>46038</v>
      </c>
      <c r="E65" s="52">
        <v>46068</v>
      </c>
    </row>
    <row r="66" spans="1:5" ht="15" customHeight="1" x14ac:dyDescent="0.25">
      <c r="A66" s="51" t="s">
        <v>18</v>
      </c>
      <c r="B66" s="49" t="s">
        <v>34</v>
      </c>
      <c r="C66" s="57">
        <v>18</v>
      </c>
      <c r="D66" s="52">
        <v>46038</v>
      </c>
      <c r="E66" s="52">
        <v>46068</v>
      </c>
    </row>
    <row r="67" spans="1:5" ht="15" customHeight="1" x14ac:dyDescent="0.25">
      <c r="A67" s="51" t="s">
        <v>123</v>
      </c>
      <c r="B67" s="49" t="s">
        <v>124</v>
      </c>
      <c r="C67" s="57">
        <v>3.1</v>
      </c>
      <c r="D67" s="52">
        <v>46038</v>
      </c>
      <c r="E67" s="52">
        <v>46068</v>
      </c>
    </row>
    <row r="68" spans="1:5" ht="15" customHeight="1" x14ac:dyDescent="0.25">
      <c r="A68" s="51" t="s">
        <v>45</v>
      </c>
      <c r="B68" s="49" t="s">
        <v>46</v>
      </c>
      <c r="C68" s="57">
        <v>8.4</v>
      </c>
      <c r="D68" s="52">
        <v>46038</v>
      </c>
      <c r="E68" s="52">
        <v>46068</v>
      </c>
    </row>
    <row r="69" spans="1:5" ht="15" customHeight="1" x14ac:dyDescent="0.25">
      <c r="A69" s="51" t="s">
        <v>129</v>
      </c>
      <c r="B69" s="49" t="s">
        <v>130</v>
      </c>
      <c r="C69" s="57">
        <v>3</v>
      </c>
      <c r="D69" s="52">
        <v>46038</v>
      </c>
      <c r="E69" s="52">
        <v>46068</v>
      </c>
    </row>
    <row r="70" spans="1:5" ht="15" customHeight="1" x14ac:dyDescent="0.25">
      <c r="A70" s="55" t="s">
        <v>42</v>
      </c>
      <c r="B70" s="53" t="s">
        <v>120</v>
      </c>
      <c r="C70" s="57">
        <v>9.5</v>
      </c>
      <c r="D70" s="52">
        <v>46038</v>
      </c>
      <c r="E70" s="52">
        <v>46068</v>
      </c>
    </row>
    <row r="71" spans="1:5" ht="15.75" hidden="1" customHeight="1" x14ac:dyDescent="0.25">
      <c r="A71" s="51" t="s">
        <v>146</v>
      </c>
      <c r="B71" s="49" t="s">
        <v>147</v>
      </c>
      <c r="C71" s="56"/>
      <c r="D71" s="52">
        <v>46038</v>
      </c>
      <c r="E71" s="52">
        <v>46068</v>
      </c>
    </row>
    <row r="72" spans="1:5" ht="15.75" hidden="1" customHeight="1" x14ac:dyDescent="0.25">
      <c r="A72" s="51" t="s">
        <v>370</v>
      </c>
      <c r="B72" s="49" t="s">
        <v>371</v>
      </c>
      <c r="C72" s="57"/>
      <c r="D72" s="52">
        <v>46038</v>
      </c>
      <c r="E72" s="52">
        <v>46068</v>
      </c>
    </row>
    <row r="73" spans="1:5" ht="15.75" hidden="1" customHeight="1" x14ac:dyDescent="0.25">
      <c r="A73" s="51" t="s">
        <v>351</v>
      </c>
      <c r="B73" s="49" t="s">
        <v>352</v>
      </c>
      <c r="C73" s="56"/>
      <c r="D73" s="52">
        <v>46038</v>
      </c>
      <c r="E73" s="52">
        <v>46068</v>
      </c>
    </row>
    <row r="74" spans="1:5" ht="15" customHeight="1" x14ac:dyDescent="0.25">
      <c r="A74" s="51" t="s">
        <v>125</v>
      </c>
      <c r="B74" s="49" t="s">
        <v>126</v>
      </c>
      <c r="C74" s="57">
        <v>3.3</v>
      </c>
      <c r="D74" s="52">
        <v>46038</v>
      </c>
      <c r="E74" s="52">
        <v>46068</v>
      </c>
    </row>
    <row r="75" spans="1:5" ht="15.75" hidden="1" customHeight="1" x14ac:dyDescent="0.25">
      <c r="A75" s="55" t="s">
        <v>308</v>
      </c>
      <c r="B75" s="50" t="s">
        <v>309</v>
      </c>
      <c r="C75" s="56"/>
      <c r="D75" s="52">
        <v>46038</v>
      </c>
      <c r="E75" s="52">
        <v>46068</v>
      </c>
    </row>
    <row r="76" spans="1:5" ht="15" customHeight="1" x14ac:dyDescent="0.25">
      <c r="A76" s="55" t="s">
        <v>768</v>
      </c>
      <c r="B76" s="50" t="s">
        <v>736</v>
      </c>
      <c r="C76" s="56">
        <v>37</v>
      </c>
      <c r="D76" s="52">
        <v>46038</v>
      </c>
      <c r="E76" s="52">
        <v>46068</v>
      </c>
    </row>
    <row r="77" spans="1:5" ht="15.75" hidden="1" customHeight="1" x14ac:dyDescent="0.25">
      <c r="A77" s="51" t="s">
        <v>800</v>
      </c>
      <c r="B77" s="49" t="s">
        <v>769</v>
      </c>
      <c r="C77" s="56"/>
      <c r="D77" s="52">
        <v>46038</v>
      </c>
      <c r="E77" s="52">
        <v>46068</v>
      </c>
    </row>
    <row r="78" spans="1:5" ht="15.75" hidden="1" customHeight="1" x14ac:dyDescent="0.25">
      <c r="A78" s="55" t="s">
        <v>261</v>
      </c>
      <c r="B78" s="53" t="s">
        <v>262</v>
      </c>
      <c r="C78" s="57"/>
      <c r="D78" s="52">
        <v>46038</v>
      </c>
      <c r="E78" s="52">
        <v>46068</v>
      </c>
    </row>
    <row r="79" spans="1:5" ht="15" customHeight="1" x14ac:dyDescent="0.25">
      <c r="A79" s="51" t="s">
        <v>58</v>
      </c>
      <c r="B79" s="53" t="s">
        <v>82</v>
      </c>
      <c r="C79" s="57">
        <v>19.399999999999999</v>
      </c>
      <c r="D79" s="52">
        <v>46038</v>
      </c>
      <c r="E79" s="52">
        <v>46068</v>
      </c>
    </row>
    <row r="80" spans="1:5" ht="15" customHeight="1" x14ac:dyDescent="0.25">
      <c r="A80" s="55" t="s">
        <v>377</v>
      </c>
      <c r="B80" s="53" t="s">
        <v>376</v>
      </c>
      <c r="C80" s="57">
        <v>6.2</v>
      </c>
      <c r="D80" s="52">
        <v>46038</v>
      </c>
      <c r="E80" s="52">
        <v>46068</v>
      </c>
    </row>
    <row r="81" spans="1:5" ht="15" customHeight="1" x14ac:dyDescent="0.25">
      <c r="A81" s="51" t="s">
        <v>770</v>
      </c>
      <c r="B81" s="49" t="s">
        <v>771</v>
      </c>
      <c r="C81" s="56">
        <v>29</v>
      </c>
      <c r="D81" s="52">
        <v>46038</v>
      </c>
      <c r="E81" s="52">
        <v>46068</v>
      </c>
    </row>
    <row r="82" spans="1:5" ht="15.75" hidden="1" customHeight="1" x14ac:dyDescent="0.25">
      <c r="A82" s="55" t="s">
        <v>389</v>
      </c>
      <c r="B82" s="53" t="s">
        <v>398</v>
      </c>
      <c r="C82" s="57"/>
      <c r="D82" s="52">
        <v>46038</v>
      </c>
      <c r="E82" s="52">
        <v>46068</v>
      </c>
    </row>
    <row r="83" spans="1:5" ht="15.75" hidden="1" customHeight="1" x14ac:dyDescent="0.25">
      <c r="A83" s="51" t="s">
        <v>354</v>
      </c>
      <c r="B83" s="53" t="s">
        <v>355</v>
      </c>
      <c r="C83" s="57"/>
      <c r="D83" s="52">
        <v>46038</v>
      </c>
      <c r="E83" s="52">
        <v>46068</v>
      </c>
    </row>
    <row r="84" spans="1:5" ht="15.75" hidden="1" customHeight="1" x14ac:dyDescent="0.25">
      <c r="A84" s="55" t="s">
        <v>193</v>
      </c>
      <c r="B84" s="53" t="s">
        <v>194</v>
      </c>
      <c r="C84" s="57"/>
      <c r="D84" s="52">
        <v>46038</v>
      </c>
      <c r="E84" s="52">
        <v>46068</v>
      </c>
    </row>
    <row r="85" spans="1:5" ht="15.75" hidden="1" customHeight="1" x14ac:dyDescent="0.25">
      <c r="A85" s="51" t="s">
        <v>362</v>
      </c>
      <c r="B85" s="49" t="s">
        <v>363</v>
      </c>
      <c r="C85" s="57"/>
      <c r="D85" s="52">
        <v>46038</v>
      </c>
      <c r="E85" s="52">
        <v>46068</v>
      </c>
    </row>
    <row r="86" spans="1:5" ht="15.75" hidden="1" customHeight="1" x14ac:dyDescent="0.25">
      <c r="A86" s="55" t="s">
        <v>412</v>
      </c>
      <c r="B86" s="50" t="s">
        <v>413</v>
      </c>
      <c r="C86" s="56"/>
      <c r="D86" s="52">
        <v>46038</v>
      </c>
      <c r="E86" s="52">
        <v>46068</v>
      </c>
    </row>
    <row r="87" spans="1:5" ht="15.75" hidden="1" customHeight="1" x14ac:dyDescent="0.25">
      <c r="A87" s="51" t="s">
        <v>10</v>
      </c>
      <c r="B87" s="49" t="s">
        <v>74</v>
      </c>
      <c r="C87" s="56"/>
      <c r="D87" s="52">
        <v>46038</v>
      </c>
      <c r="E87" s="52">
        <v>46068</v>
      </c>
    </row>
    <row r="88" spans="1:5" ht="15.75" hidden="1" customHeight="1" x14ac:dyDescent="0.25">
      <c r="A88" s="51" t="s">
        <v>245</v>
      </c>
      <c r="B88" s="49" t="s">
        <v>246</v>
      </c>
      <c r="C88" s="56"/>
      <c r="D88" s="52">
        <v>46038</v>
      </c>
      <c r="E88" s="52">
        <v>46068</v>
      </c>
    </row>
    <row r="89" spans="1:5" ht="15" customHeight="1" x14ac:dyDescent="0.25">
      <c r="A89" s="51" t="s">
        <v>105</v>
      </c>
      <c r="B89" s="53" t="s">
        <v>106</v>
      </c>
      <c r="C89" s="57">
        <v>42</v>
      </c>
      <c r="D89" s="52">
        <v>46038</v>
      </c>
      <c r="E89" s="52">
        <v>46068</v>
      </c>
    </row>
    <row r="90" spans="1:5" ht="15.75" hidden="1" customHeight="1" x14ac:dyDescent="0.25">
      <c r="A90" s="51" t="s">
        <v>291</v>
      </c>
      <c r="B90" s="49" t="s">
        <v>292</v>
      </c>
      <c r="C90" s="57"/>
      <c r="D90" s="52">
        <v>46038</v>
      </c>
      <c r="E90" s="52">
        <v>46068</v>
      </c>
    </row>
    <row r="91" spans="1:5" ht="15" customHeight="1" x14ac:dyDescent="0.25">
      <c r="A91" s="58" t="s">
        <v>167</v>
      </c>
      <c r="B91" s="59" t="s">
        <v>168</v>
      </c>
      <c r="C91" s="57">
        <v>9.5</v>
      </c>
      <c r="D91" s="52">
        <v>46038</v>
      </c>
      <c r="E91" s="52">
        <v>46068</v>
      </c>
    </row>
    <row r="92" spans="1:5" ht="15.75" hidden="1" customHeight="1" x14ac:dyDescent="0.25">
      <c r="A92" s="55" t="s">
        <v>232</v>
      </c>
      <c r="B92" s="50" t="s">
        <v>244</v>
      </c>
      <c r="C92" s="56"/>
      <c r="D92" s="52">
        <v>46038</v>
      </c>
      <c r="E92" s="52">
        <v>46068</v>
      </c>
    </row>
    <row r="93" spans="1:5" ht="15.75" hidden="1" customHeight="1" x14ac:dyDescent="0.25">
      <c r="A93" s="51" t="s">
        <v>155</v>
      </c>
      <c r="B93" s="49" t="s">
        <v>154</v>
      </c>
      <c r="C93" s="56"/>
      <c r="D93" s="52">
        <v>46038</v>
      </c>
      <c r="E93" s="52">
        <v>46068</v>
      </c>
    </row>
    <row r="94" spans="1:5" ht="15.75" hidden="1" customHeight="1" x14ac:dyDescent="0.25">
      <c r="A94" s="55" t="s">
        <v>131</v>
      </c>
      <c r="B94" s="53" t="s">
        <v>132</v>
      </c>
      <c r="C94" s="57"/>
      <c r="D94" s="52">
        <v>46038</v>
      </c>
      <c r="E94" s="52">
        <v>46068</v>
      </c>
    </row>
    <row r="95" spans="1:5" ht="15" customHeight="1" x14ac:dyDescent="0.25">
      <c r="A95" s="51" t="s">
        <v>287</v>
      </c>
      <c r="B95" s="49" t="s">
        <v>411</v>
      </c>
      <c r="C95" s="56">
        <v>9</v>
      </c>
      <c r="D95" s="52">
        <v>46038</v>
      </c>
      <c r="E95" s="52">
        <v>46068</v>
      </c>
    </row>
    <row r="96" spans="1:5" ht="15.75" hidden="1" customHeight="1" x14ac:dyDescent="0.25">
      <c r="A96" s="55" t="s">
        <v>237</v>
      </c>
      <c r="B96" s="53" t="s">
        <v>236</v>
      </c>
      <c r="C96" s="57"/>
      <c r="D96" s="52">
        <v>46038</v>
      </c>
      <c r="E96" s="52">
        <v>46068</v>
      </c>
    </row>
    <row r="97" spans="1:5" ht="15.75" hidden="1" customHeight="1" x14ac:dyDescent="0.25">
      <c r="A97" s="51" t="s">
        <v>11</v>
      </c>
      <c r="B97" s="49" t="s">
        <v>44</v>
      </c>
      <c r="C97" s="57"/>
      <c r="D97" s="52">
        <v>46038</v>
      </c>
      <c r="E97" s="52">
        <v>46068</v>
      </c>
    </row>
    <row r="98" spans="1:5" ht="15" customHeight="1" x14ac:dyDescent="0.25">
      <c r="A98" s="51" t="s">
        <v>256</v>
      </c>
      <c r="B98" s="49" t="s">
        <v>286</v>
      </c>
      <c r="C98" s="56">
        <v>15</v>
      </c>
      <c r="D98" s="52">
        <v>46038</v>
      </c>
      <c r="E98" s="52">
        <v>46068</v>
      </c>
    </row>
    <row r="99" spans="1:5" ht="15.75" hidden="1" customHeight="1" x14ac:dyDescent="0.25">
      <c r="A99" s="51" t="s">
        <v>462</v>
      </c>
      <c r="B99" s="49" t="s">
        <v>463</v>
      </c>
      <c r="C99" s="56"/>
      <c r="D99" s="52">
        <v>46038</v>
      </c>
      <c r="E99" s="52">
        <v>46068</v>
      </c>
    </row>
    <row r="100" spans="1:5" ht="15.75" hidden="1" customHeight="1" x14ac:dyDescent="0.25">
      <c r="A100" s="51" t="s">
        <v>152</v>
      </c>
      <c r="B100" s="49" t="s">
        <v>151</v>
      </c>
      <c r="C100" s="56"/>
      <c r="D100" s="52">
        <v>46038</v>
      </c>
      <c r="E100" s="52">
        <v>46068</v>
      </c>
    </row>
    <row r="101" spans="1:5" ht="15.75" hidden="1" customHeight="1" x14ac:dyDescent="0.25">
      <c r="A101" s="55" t="s">
        <v>282</v>
      </c>
      <c r="B101" s="53" t="s">
        <v>107</v>
      </c>
      <c r="C101" s="57"/>
      <c r="D101" s="52">
        <v>46038</v>
      </c>
      <c r="E101" s="52">
        <v>46068</v>
      </c>
    </row>
    <row r="102" spans="1:5" ht="15.75" hidden="1" customHeight="1" x14ac:dyDescent="0.25">
      <c r="A102" s="51" t="s">
        <v>80</v>
      </c>
      <c r="B102" s="49" t="s">
        <v>81</v>
      </c>
      <c r="C102" s="57"/>
      <c r="D102" s="52">
        <v>46038</v>
      </c>
      <c r="E102" s="52">
        <v>46068</v>
      </c>
    </row>
    <row r="103" spans="1:5" ht="15" customHeight="1" x14ac:dyDescent="0.25">
      <c r="A103" s="51" t="s">
        <v>73</v>
      </c>
      <c r="B103" s="49" t="s">
        <v>405</v>
      </c>
      <c r="C103" s="57">
        <v>1</v>
      </c>
      <c r="D103" s="52">
        <v>46038</v>
      </c>
      <c r="E103" s="52">
        <v>46068</v>
      </c>
    </row>
    <row r="104" spans="1:5" ht="15" customHeight="1" x14ac:dyDescent="0.25">
      <c r="A104" s="55" t="s">
        <v>76</v>
      </c>
      <c r="B104" s="53" t="s">
        <v>353</v>
      </c>
      <c r="C104" s="57">
        <v>14.1</v>
      </c>
      <c r="D104" s="52">
        <v>46038</v>
      </c>
      <c r="E104" s="52">
        <v>46068</v>
      </c>
    </row>
    <row r="105" spans="1:5" ht="15" customHeight="1" x14ac:dyDescent="0.25">
      <c r="A105" s="51" t="s">
        <v>431</v>
      </c>
      <c r="B105" s="49" t="s">
        <v>432</v>
      </c>
      <c r="C105" s="57">
        <v>5.3</v>
      </c>
      <c r="D105" s="52">
        <v>46038</v>
      </c>
      <c r="E105" s="52">
        <v>46068</v>
      </c>
    </row>
    <row r="106" spans="1:5" ht="15.75" hidden="1" customHeight="1" x14ac:dyDescent="0.25">
      <c r="A106" s="51" t="s">
        <v>259</v>
      </c>
      <c r="B106" s="49" t="s">
        <v>260</v>
      </c>
      <c r="C106" s="56"/>
      <c r="D106" s="52">
        <v>46038</v>
      </c>
      <c r="E106" s="52">
        <v>46068</v>
      </c>
    </row>
    <row r="107" spans="1:5" ht="15.75" hidden="1" customHeight="1" x14ac:dyDescent="0.25">
      <c r="A107" s="51" t="s">
        <v>475</v>
      </c>
      <c r="B107" s="49" t="s">
        <v>476</v>
      </c>
      <c r="C107" s="56"/>
      <c r="D107" s="52">
        <v>46038</v>
      </c>
      <c r="E107" s="52">
        <v>46068</v>
      </c>
    </row>
    <row r="108" spans="1:5" ht="15.75" hidden="1" customHeight="1" x14ac:dyDescent="0.25">
      <c r="A108" s="54" t="s">
        <v>169</v>
      </c>
      <c r="B108" s="50" t="s">
        <v>192</v>
      </c>
      <c r="C108" s="57"/>
      <c r="D108" s="52">
        <v>46038</v>
      </c>
      <c r="E108" s="52">
        <v>46068</v>
      </c>
    </row>
    <row r="109" spans="1:5" ht="15" customHeight="1" x14ac:dyDescent="0.25">
      <c r="A109" s="51" t="s">
        <v>31</v>
      </c>
      <c r="B109" s="49" t="s">
        <v>36</v>
      </c>
      <c r="C109" s="57">
        <v>26</v>
      </c>
      <c r="D109" s="52">
        <v>46038</v>
      </c>
      <c r="E109" s="52">
        <v>46068</v>
      </c>
    </row>
    <row r="110" spans="1:5" ht="15.75" hidden="1" customHeight="1" x14ac:dyDescent="0.25">
      <c r="A110" s="51" t="s">
        <v>68</v>
      </c>
      <c r="B110" s="49" t="s">
        <v>67</v>
      </c>
      <c r="C110" s="57"/>
      <c r="D110" s="52">
        <v>46038</v>
      </c>
      <c r="E110" s="52">
        <v>46068</v>
      </c>
    </row>
    <row r="111" spans="1:5" ht="15.75" hidden="1" customHeight="1" x14ac:dyDescent="0.25">
      <c r="A111" s="51" t="s">
        <v>215</v>
      </c>
      <c r="B111" s="49" t="s">
        <v>216</v>
      </c>
      <c r="C111" s="57"/>
      <c r="D111" s="52">
        <v>46038</v>
      </c>
      <c r="E111" s="52">
        <v>46068</v>
      </c>
    </row>
    <row r="112" spans="1:5" ht="15.75" hidden="1" customHeight="1" x14ac:dyDescent="0.25">
      <c r="A112" s="51" t="s">
        <v>133</v>
      </c>
      <c r="B112" s="49" t="s">
        <v>134</v>
      </c>
      <c r="C112" s="57"/>
      <c r="D112" s="52">
        <v>46038</v>
      </c>
      <c r="E112" s="52">
        <v>46068</v>
      </c>
    </row>
    <row r="113" spans="1:5" ht="15.75" hidden="1" customHeight="1" x14ac:dyDescent="0.25">
      <c r="A113" s="51" t="s">
        <v>242</v>
      </c>
      <c r="B113" s="49" t="s">
        <v>243</v>
      </c>
      <c r="C113" s="57"/>
      <c r="D113" s="52">
        <v>46038</v>
      </c>
      <c r="E113" s="52">
        <v>46068</v>
      </c>
    </row>
    <row r="114" spans="1:5" ht="15.75" hidden="1" customHeight="1" x14ac:dyDescent="0.25">
      <c r="A114" s="55" t="s">
        <v>144</v>
      </c>
      <c r="B114" s="50" t="s">
        <v>145</v>
      </c>
      <c r="C114" s="56"/>
      <c r="D114" s="52">
        <v>46038</v>
      </c>
      <c r="E114" s="52">
        <v>46068</v>
      </c>
    </row>
    <row r="115" spans="1:5" ht="15" customHeight="1" x14ac:dyDescent="0.25">
      <c r="A115" s="51" t="s">
        <v>12</v>
      </c>
      <c r="B115" s="53" t="s">
        <v>13</v>
      </c>
      <c r="C115" s="57">
        <v>33</v>
      </c>
      <c r="D115" s="52">
        <v>46038</v>
      </c>
      <c r="E115" s="52">
        <v>46068</v>
      </c>
    </row>
    <row r="116" spans="1:5" ht="15.75" hidden="1" customHeight="1" x14ac:dyDescent="0.25">
      <c r="A116" s="55" t="s">
        <v>278</v>
      </c>
      <c r="B116" s="53" t="s">
        <v>279</v>
      </c>
      <c r="C116" s="57"/>
      <c r="D116" s="52">
        <v>46038</v>
      </c>
      <c r="E116" s="52">
        <v>46068</v>
      </c>
    </row>
    <row r="117" spans="1:5" ht="15" customHeight="1" x14ac:dyDescent="0.25">
      <c r="A117" s="55" t="s">
        <v>798</v>
      </c>
      <c r="B117" s="53" t="s">
        <v>773</v>
      </c>
      <c r="C117" s="57">
        <v>3</v>
      </c>
      <c r="D117" s="52">
        <v>46038</v>
      </c>
      <c r="E117" s="52">
        <v>46068</v>
      </c>
    </row>
    <row r="118" spans="1:5" ht="15.75" hidden="1" customHeight="1" x14ac:dyDescent="0.25">
      <c r="A118" s="55" t="s">
        <v>108</v>
      </c>
      <c r="B118" s="53" t="s">
        <v>109</v>
      </c>
      <c r="C118" s="57"/>
      <c r="D118" s="52">
        <v>46038</v>
      </c>
      <c r="E118" s="52">
        <v>46068</v>
      </c>
    </row>
    <row r="119" spans="1:5" ht="15.75" hidden="1" customHeight="1" x14ac:dyDescent="0.25">
      <c r="A119" s="55" t="s">
        <v>252</v>
      </c>
      <c r="B119" s="53" t="s">
        <v>442</v>
      </c>
      <c r="C119" s="57"/>
      <c r="D119" s="52">
        <v>46038</v>
      </c>
      <c r="E119" s="52">
        <v>46068</v>
      </c>
    </row>
    <row r="120" spans="1:5" ht="15.75" hidden="1" customHeight="1" x14ac:dyDescent="0.25">
      <c r="A120" s="55" t="s">
        <v>43</v>
      </c>
      <c r="B120" s="53" t="s">
        <v>32</v>
      </c>
      <c r="C120" s="57"/>
      <c r="D120" s="52">
        <v>46038</v>
      </c>
      <c r="E120" s="52">
        <v>46068</v>
      </c>
    </row>
    <row r="121" spans="1:5" ht="15" customHeight="1" x14ac:dyDescent="0.25">
      <c r="A121" s="55" t="s">
        <v>83</v>
      </c>
      <c r="B121" s="53" t="s">
        <v>84</v>
      </c>
      <c r="C121" s="57">
        <v>12</v>
      </c>
      <c r="D121" s="52">
        <v>46038</v>
      </c>
      <c r="E121" s="52">
        <v>46068</v>
      </c>
    </row>
    <row r="122" spans="1:5" ht="15" customHeight="1" x14ac:dyDescent="0.25">
      <c r="A122" s="55" t="s">
        <v>162</v>
      </c>
      <c r="B122" s="53" t="s">
        <v>161</v>
      </c>
      <c r="C122" s="57">
        <v>8</v>
      </c>
      <c r="D122" s="52">
        <v>46038</v>
      </c>
      <c r="E122" s="52">
        <v>46068</v>
      </c>
    </row>
    <row r="123" spans="1:5" ht="15.75" hidden="1" customHeight="1" x14ac:dyDescent="0.25">
      <c r="A123" s="55" t="s">
        <v>143</v>
      </c>
      <c r="B123" s="53" t="s">
        <v>148</v>
      </c>
      <c r="C123" s="57"/>
      <c r="D123" s="52">
        <v>46038</v>
      </c>
      <c r="E123" s="52">
        <v>46068</v>
      </c>
    </row>
    <row r="124" spans="1:5" ht="15" customHeight="1" x14ac:dyDescent="0.25">
      <c r="A124" s="51" t="s">
        <v>64</v>
      </c>
      <c r="B124" s="49" t="s">
        <v>63</v>
      </c>
      <c r="C124" s="57">
        <v>12.5</v>
      </c>
      <c r="D124" s="52">
        <v>46038</v>
      </c>
      <c r="E124" s="52">
        <v>46068</v>
      </c>
    </row>
    <row r="125" spans="1:5" ht="15.75" hidden="1" customHeight="1" x14ac:dyDescent="0.25">
      <c r="A125" s="51" t="s">
        <v>30</v>
      </c>
      <c r="B125" s="49" t="s">
        <v>38</v>
      </c>
      <c r="C125" s="57"/>
      <c r="D125" s="52">
        <v>46038</v>
      </c>
      <c r="E125" s="52">
        <v>46068</v>
      </c>
    </row>
    <row r="126" spans="1:5" ht="15.75" hidden="1" customHeight="1" x14ac:dyDescent="0.25">
      <c r="A126" s="51" t="s">
        <v>178</v>
      </c>
      <c r="B126" s="49" t="s">
        <v>179</v>
      </c>
      <c r="C126" s="56"/>
      <c r="D126" s="52">
        <v>46038</v>
      </c>
      <c r="E126" s="52">
        <v>46068</v>
      </c>
    </row>
    <row r="127" spans="1:5" ht="15.75" hidden="1" customHeight="1" x14ac:dyDescent="0.25">
      <c r="A127" s="51" t="s">
        <v>394</v>
      </c>
      <c r="B127" s="49" t="s">
        <v>393</v>
      </c>
      <c r="C127" s="57"/>
      <c r="D127" s="52">
        <v>46038</v>
      </c>
      <c r="E127" s="52">
        <v>46068</v>
      </c>
    </row>
    <row r="128" spans="1:5" ht="15.75" hidden="1" customHeight="1" x14ac:dyDescent="0.25">
      <c r="A128" s="51" t="s">
        <v>464</v>
      </c>
      <c r="B128" s="49" t="s">
        <v>465</v>
      </c>
      <c r="C128" s="57"/>
      <c r="D128" s="52">
        <v>46038</v>
      </c>
      <c r="E128" s="52">
        <v>46068</v>
      </c>
    </row>
    <row r="129" spans="1:5" ht="15.75" hidden="1" customHeight="1" x14ac:dyDescent="0.25">
      <c r="A129" s="51" t="s">
        <v>235</v>
      </c>
      <c r="B129" s="49" t="s">
        <v>234</v>
      </c>
      <c r="C129" s="57"/>
      <c r="D129" s="52">
        <v>46038</v>
      </c>
      <c r="E129" s="52">
        <v>46068</v>
      </c>
    </row>
    <row r="130" spans="1:5" ht="15.75" hidden="1" customHeight="1" x14ac:dyDescent="0.25">
      <c r="A130" s="51" t="s">
        <v>247</v>
      </c>
      <c r="B130" s="49" t="s">
        <v>248</v>
      </c>
      <c r="C130" s="57"/>
      <c r="D130" s="52">
        <v>46038</v>
      </c>
      <c r="E130" s="52">
        <v>46068</v>
      </c>
    </row>
    <row r="131" spans="1:5" ht="15" customHeight="1" x14ac:dyDescent="0.25">
      <c r="A131" s="51" t="s">
        <v>439</v>
      </c>
      <c r="B131" s="49" t="s">
        <v>440</v>
      </c>
      <c r="C131" s="57">
        <v>5</v>
      </c>
      <c r="D131" s="52">
        <v>46038</v>
      </c>
      <c r="E131" s="52">
        <v>46068</v>
      </c>
    </row>
    <row r="132" spans="1:5" ht="15.75" hidden="1" customHeight="1" x14ac:dyDescent="0.25">
      <c r="A132" s="51" t="s">
        <v>387</v>
      </c>
      <c r="B132" s="49" t="s">
        <v>396</v>
      </c>
      <c r="C132" s="56"/>
      <c r="D132" s="52">
        <v>46038</v>
      </c>
      <c r="E132" s="52">
        <v>46068</v>
      </c>
    </row>
    <row r="133" spans="1:5" ht="15" customHeight="1" x14ac:dyDescent="0.25">
      <c r="A133" s="55" t="s">
        <v>14</v>
      </c>
      <c r="B133" s="53" t="s">
        <v>15</v>
      </c>
      <c r="C133" s="57">
        <v>51</v>
      </c>
      <c r="D133" s="52">
        <v>46038</v>
      </c>
      <c r="E133" s="52">
        <v>46068</v>
      </c>
    </row>
    <row r="134" spans="1:5" ht="15.75" hidden="1" customHeight="1" x14ac:dyDescent="0.25">
      <c r="A134" s="51" t="s">
        <v>263</v>
      </c>
      <c r="B134" s="49" t="s">
        <v>229</v>
      </c>
      <c r="C134" s="57"/>
      <c r="D134" s="52">
        <v>46038</v>
      </c>
      <c r="E134" s="52">
        <v>46068</v>
      </c>
    </row>
    <row r="135" spans="1:5" ht="15.75" hidden="1" customHeight="1" x14ac:dyDescent="0.25">
      <c r="A135" s="51" t="s">
        <v>249</v>
      </c>
      <c r="B135" s="49" t="s">
        <v>250</v>
      </c>
      <c r="C135" s="56"/>
      <c r="D135" s="52">
        <v>46038</v>
      </c>
      <c r="E135" s="52">
        <v>46068</v>
      </c>
    </row>
    <row r="136" spans="1:5" ht="15.75" hidden="1" customHeight="1" x14ac:dyDescent="0.25">
      <c r="A136" s="51" t="s">
        <v>257</v>
      </c>
      <c r="B136" s="49" t="s">
        <v>258</v>
      </c>
      <c r="C136" s="57"/>
      <c r="D136" s="52">
        <v>46038</v>
      </c>
      <c r="E136" s="52">
        <v>46068</v>
      </c>
    </row>
    <row r="137" spans="1:5" ht="15.75" hidden="1" customHeight="1" x14ac:dyDescent="0.25">
      <c r="A137" s="51" t="s">
        <v>270</v>
      </c>
      <c r="B137" s="49" t="s">
        <v>273</v>
      </c>
      <c r="C137" s="56"/>
      <c r="D137" s="52">
        <v>46038</v>
      </c>
      <c r="E137" s="52">
        <v>46068</v>
      </c>
    </row>
    <row r="138" spans="1:5" ht="15" customHeight="1" x14ac:dyDescent="0.25">
      <c r="A138" s="51" t="s">
        <v>207</v>
      </c>
      <c r="B138" s="49" t="s">
        <v>208</v>
      </c>
      <c r="C138" s="57">
        <v>7.5</v>
      </c>
      <c r="D138" s="52">
        <v>46038</v>
      </c>
      <c r="E138" s="52">
        <v>46068</v>
      </c>
    </row>
    <row r="139" spans="1:5" ht="15" customHeight="1" x14ac:dyDescent="0.25">
      <c r="A139" s="55" t="s">
        <v>52</v>
      </c>
      <c r="B139" s="53" t="s">
        <v>53</v>
      </c>
      <c r="C139" s="57">
        <v>15</v>
      </c>
      <c r="D139" s="52">
        <v>46038</v>
      </c>
      <c r="E139" s="52">
        <v>46068</v>
      </c>
    </row>
    <row r="140" spans="1:5" ht="15.75" hidden="1" customHeight="1" x14ac:dyDescent="0.25">
      <c r="A140" s="51" t="s">
        <v>410</v>
      </c>
      <c r="B140" s="49" t="s">
        <v>364</v>
      </c>
      <c r="C140" s="56"/>
      <c r="D140" s="52">
        <v>46038</v>
      </c>
      <c r="E140" s="52">
        <v>46068</v>
      </c>
    </row>
    <row r="141" spans="1:5" ht="15.75" hidden="1" customHeight="1" x14ac:dyDescent="0.25">
      <c r="A141" s="51" t="s">
        <v>295</v>
      </c>
      <c r="B141" s="49" t="s">
        <v>296</v>
      </c>
      <c r="C141" s="56"/>
      <c r="D141" s="52">
        <v>46038</v>
      </c>
      <c r="E141" s="52">
        <v>46068</v>
      </c>
    </row>
    <row r="142" spans="1:5" ht="15.75" hidden="1" customHeight="1" x14ac:dyDescent="0.25">
      <c r="A142" s="54" t="s">
        <v>90</v>
      </c>
      <c r="B142" s="50" t="s">
        <v>420</v>
      </c>
      <c r="C142" s="56"/>
      <c r="D142" s="52">
        <v>46038</v>
      </c>
      <c r="E142" s="52">
        <v>46068</v>
      </c>
    </row>
    <row r="143" spans="1:5" ht="15.75" hidden="1" customHeight="1" x14ac:dyDescent="0.25">
      <c r="A143" s="51" t="s">
        <v>220</v>
      </c>
      <c r="B143" s="49" t="s">
        <v>221</v>
      </c>
      <c r="C143" s="56"/>
      <c r="D143" s="52">
        <v>46038</v>
      </c>
      <c r="E143" s="52">
        <v>46068</v>
      </c>
    </row>
    <row r="144" spans="1:5" ht="15" hidden="1" customHeight="1" x14ac:dyDescent="0.25">
      <c r="A144" s="51" t="s">
        <v>796</v>
      </c>
      <c r="B144" s="49" t="s">
        <v>729</v>
      </c>
      <c r="C144" s="56"/>
      <c r="D144" s="52">
        <v>46038</v>
      </c>
      <c r="E144" s="52">
        <v>46068</v>
      </c>
    </row>
    <row r="145" spans="1:5" ht="15" customHeight="1" x14ac:dyDescent="0.25">
      <c r="A145" s="51" t="s">
        <v>774</v>
      </c>
      <c r="B145" s="49" t="s">
        <v>775</v>
      </c>
      <c r="C145" s="56">
        <v>6.3</v>
      </c>
      <c r="D145" s="52">
        <v>46038</v>
      </c>
      <c r="E145" s="52">
        <v>46068</v>
      </c>
    </row>
    <row r="146" spans="1:5" ht="15" customHeight="1" x14ac:dyDescent="0.25">
      <c r="A146" s="55" t="s">
        <v>57</v>
      </c>
      <c r="B146" s="53" t="s">
        <v>56</v>
      </c>
      <c r="C146" s="57">
        <v>15</v>
      </c>
      <c r="D146" s="52">
        <v>46038</v>
      </c>
      <c r="E146" s="52">
        <v>46068</v>
      </c>
    </row>
    <row r="147" spans="1:5" ht="15.75" hidden="1" customHeight="1" x14ac:dyDescent="0.25">
      <c r="A147" s="51" t="s">
        <v>211</v>
      </c>
      <c r="B147" s="49" t="s">
        <v>212</v>
      </c>
      <c r="C147" s="56"/>
      <c r="D147" s="52">
        <v>46038</v>
      </c>
      <c r="E147" s="52">
        <v>46068</v>
      </c>
    </row>
    <row r="148" spans="1:5" ht="15.75" hidden="1" customHeight="1" x14ac:dyDescent="0.25">
      <c r="A148" s="51" t="s">
        <v>91</v>
      </c>
      <c r="B148" s="49" t="s">
        <v>97</v>
      </c>
      <c r="C148" s="56"/>
      <c r="D148" s="52">
        <v>46038</v>
      </c>
      <c r="E148" s="52">
        <v>46068</v>
      </c>
    </row>
    <row r="149" spans="1:5" ht="15.75" hidden="1" customHeight="1" x14ac:dyDescent="0.25">
      <c r="A149" s="55" t="s">
        <v>170</v>
      </c>
      <c r="B149" s="53" t="s">
        <v>191</v>
      </c>
      <c r="C149" s="57"/>
      <c r="D149" s="52">
        <v>46038</v>
      </c>
      <c r="E149" s="52">
        <v>46068</v>
      </c>
    </row>
    <row r="150" spans="1:5" ht="15.75" hidden="1" customHeight="1" x14ac:dyDescent="0.25">
      <c r="A150" s="51" t="s">
        <v>202</v>
      </c>
      <c r="B150" s="49" t="s">
        <v>203</v>
      </c>
      <c r="C150" s="56"/>
      <c r="D150" s="52">
        <v>46038</v>
      </c>
      <c r="E150" s="52">
        <v>46068</v>
      </c>
    </row>
    <row r="151" spans="1:5" ht="15.75" hidden="1" customHeight="1" x14ac:dyDescent="0.25">
      <c r="A151" s="55" t="s">
        <v>88</v>
      </c>
      <c r="B151" s="50" t="s">
        <v>86</v>
      </c>
      <c r="C151" s="56"/>
      <c r="D151" s="52">
        <v>46038</v>
      </c>
      <c r="E151" s="52">
        <v>46068</v>
      </c>
    </row>
    <row r="152" spans="1:5" ht="15.75" hidden="1" customHeight="1" x14ac:dyDescent="0.25">
      <c r="A152" s="55" t="s">
        <v>443</v>
      </c>
      <c r="B152" s="53" t="s">
        <v>444</v>
      </c>
      <c r="C152" s="57"/>
      <c r="D152" s="52">
        <v>46038</v>
      </c>
      <c r="E152" s="52">
        <v>46068</v>
      </c>
    </row>
    <row r="153" spans="1:5" ht="15.75" hidden="1" customHeight="1" x14ac:dyDescent="0.25">
      <c r="A153" s="55" t="s">
        <v>407</v>
      </c>
      <c r="B153" s="50" t="s">
        <v>233</v>
      </c>
      <c r="C153" s="56"/>
      <c r="D153" s="52">
        <v>46038</v>
      </c>
      <c r="E153" s="52">
        <v>46068</v>
      </c>
    </row>
    <row r="154" spans="1:5" ht="15" customHeight="1" x14ac:dyDescent="0.25">
      <c r="A154" s="55" t="s">
        <v>71</v>
      </c>
      <c r="B154" s="50" t="s">
        <v>776</v>
      </c>
      <c r="C154" s="56">
        <v>1</v>
      </c>
      <c r="D154" s="52">
        <v>46038</v>
      </c>
      <c r="E154" s="52">
        <v>46068</v>
      </c>
    </row>
    <row r="155" spans="1:5" ht="15.75" hidden="1" customHeight="1" x14ac:dyDescent="0.25">
      <c r="A155" s="55" t="s">
        <v>225</v>
      </c>
      <c r="B155" s="50" t="s">
        <v>226</v>
      </c>
      <c r="C155" s="56"/>
      <c r="D155" s="52">
        <v>46038</v>
      </c>
      <c r="E155" s="52">
        <v>46068</v>
      </c>
    </row>
    <row r="156" spans="1:5" ht="15" customHeight="1" x14ac:dyDescent="0.25">
      <c r="A156" s="55" t="s">
        <v>185</v>
      </c>
      <c r="B156" s="50" t="s">
        <v>186</v>
      </c>
      <c r="C156" s="56">
        <v>12</v>
      </c>
      <c r="D156" s="52">
        <v>46038</v>
      </c>
      <c r="E156" s="52">
        <v>46068</v>
      </c>
    </row>
    <row r="157" spans="1:5" ht="15.75" hidden="1" customHeight="1" x14ac:dyDescent="0.25">
      <c r="A157" s="61" t="s">
        <v>70</v>
      </c>
      <c r="B157" s="60" t="s">
        <v>75</v>
      </c>
      <c r="C157" s="57"/>
      <c r="D157" s="52">
        <v>46038</v>
      </c>
      <c r="E157" s="52">
        <v>46068</v>
      </c>
    </row>
    <row r="158" spans="1:5" ht="15.75" hidden="1" customHeight="1" x14ac:dyDescent="0.25">
      <c r="A158" s="51" t="s">
        <v>104</v>
      </c>
      <c r="B158" s="49" t="s">
        <v>114</v>
      </c>
      <c r="C158" s="57"/>
      <c r="D158" s="52">
        <v>46038</v>
      </c>
      <c r="E158" s="52">
        <v>46068</v>
      </c>
    </row>
    <row r="159" spans="1:5" ht="15.75" hidden="1" customHeight="1" x14ac:dyDescent="0.25">
      <c r="A159" s="51" t="s">
        <v>297</v>
      </c>
      <c r="B159" s="49" t="s">
        <v>298</v>
      </c>
      <c r="C159" s="56"/>
      <c r="D159" s="52">
        <v>46038</v>
      </c>
      <c r="E159" s="52">
        <v>46068</v>
      </c>
    </row>
    <row r="160" spans="1:5" ht="15.75" hidden="1" customHeight="1" x14ac:dyDescent="0.25">
      <c r="A160" s="51" t="s">
        <v>210</v>
      </c>
      <c r="B160" s="49" t="s">
        <v>201</v>
      </c>
      <c r="C160" s="56"/>
      <c r="D160" s="52">
        <v>46038</v>
      </c>
      <c r="E160" s="52">
        <v>46068</v>
      </c>
    </row>
    <row r="161" spans="1:5" ht="15.75" hidden="1" customHeight="1" x14ac:dyDescent="0.25">
      <c r="A161" s="51" t="s">
        <v>219</v>
      </c>
      <c r="B161" s="49" t="s">
        <v>223</v>
      </c>
      <c r="C161" s="57"/>
      <c r="D161" s="52">
        <v>46038</v>
      </c>
      <c r="E161" s="52">
        <v>46068</v>
      </c>
    </row>
    <row r="162" spans="1:5" ht="15.75" hidden="1" customHeight="1" x14ac:dyDescent="0.25">
      <c r="A162" s="51" t="s">
        <v>217</v>
      </c>
      <c r="B162" s="49" t="s">
        <v>218</v>
      </c>
      <c r="C162" s="57"/>
      <c r="D162" s="52">
        <v>46038</v>
      </c>
      <c r="E162" s="52">
        <v>46068</v>
      </c>
    </row>
    <row r="163" spans="1:5" ht="15.75" hidden="1" customHeight="1" x14ac:dyDescent="0.25">
      <c r="A163" s="55" t="s">
        <v>100</v>
      </c>
      <c r="B163" s="50" t="s">
        <v>101</v>
      </c>
      <c r="C163" s="56"/>
      <c r="D163" s="52">
        <v>46038</v>
      </c>
      <c r="E163" s="52">
        <v>46068</v>
      </c>
    </row>
    <row r="164" spans="1:5" ht="15.75" hidden="1" customHeight="1" x14ac:dyDescent="0.25">
      <c r="A164" s="51" t="s">
        <v>801</v>
      </c>
      <c r="B164" s="49" t="s">
        <v>111</v>
      </c>
      <c r="C164" s="57"/>
      <c r="D164" s="52">
        <v>46038</v>
      </c>
      <c r="E164" s="52">
        <v>46068</v>
      </c>
    </row>
    <row r="165" spans="1:5" ht="15" customHeight="1" x14ac:dyDescent="0.25">
      <c r="A165" s="51" t="s">
        <v>777</v>
      </c>
      <c r="B165" s="49" t="s">
        <v>778</v>
      </c>
      <c r="C165" s="57">
        <v>6</v>
      </c>
      <c r="D165" s="52">
        <v>46038</v>
      </c>
      <c r="E165" s="52">
        <v>46068</v>
      </c>
    </row>
    <row r="166" spans="1:5" ht="15.75" hidden="1" customHeight="1" x14ac:dyDescent="0.25">
      <c r="A166" s="51" t="s">
        <v>408</v>
      </c>
      <c r="B166" s="49" t="s">
        <v>409</v>
      </c>
      <c r="C166" s="56"/>
      <c r="D166" s="52">
        <v>46038</v>
      </c>
      <c r="E166" s="52">
        <v>46068</v>
      </c>
    </row>
    <row r="167" spans="1:5" ht="15.75" hidden="1" customHeight="1" x14ac:dyDescent="0.25">
      <c r="A167" s="51" t="s">
        <v>310</v>
      </c>
      <c r="B167" s="49" t="s">
        <v>311</v>
      </c>
      <c r="C167" s="57"/>
      <c r="D167" s="52">
        <v>46038</v>
      </c>
      <c r="E167" s="52">
        <v>46068</v>
      </c>
    </row>
    <row r="168" spans="1:5" ht="15.75" hidden="1" customHeight="1" x14ac:dyDescent="0.25">
      <c r="A168" s="51" t="s">
        <v>187</v>
      </c>
      <c r="B168" s="49" t="s">
        <v>188</v>
      </c>
      <c r="C168" s="56"/>
      <c r="D168" s="52">
        <v>46038</v>
      </c>
      <c r="E168" s="52">
        <v>46068</v>
      </c>
    </row>
    <row r="169" spans="1:5" ht="15.75" customHeight="1" x14ac:dyDescent="0.25">
      <c r="A169" s="51" t="s">
        <v>50</v>
      </c>
      <c r="B169" s="49" t="s">
        <v>51</v>
      </c>
      <c r="C169" s="57">
        <v>3.1</v>
      </c>
      <c r="D169" s="52">
        <v>46038</v>
      </c>
      <c r="E169" s="52">
        <v>46068</v>
      </c>
    </row>
    <row r="170" spans="1:5" ht="15.75" hidden="1" customHeight="1" x14ac:dyDescent="0.25">
      <c r="A170" s="51" t="s">
        <v>209</v>
      </c>
      <c r="B170" s="49" t="s">
        <v>380</v>
      </c>
      <c r="C170" s="56"/>
      <c r="D170" s="52">
        <v>46038</v>
      </c>
      <c r="E170" s="52">
        <v>46068</v>
      </c>
    </row>
    <row r="171" spans="1:5" ht="15.75" hidden="1" customHeight="1" x14ac:dyDescent="0.25">
      <c r="A171" s="51" t="s">
        <v>159</v>
      </c>
      <c r="B171" s="49" t="s">
        <v>158</v>
      </c>
      <c r="C171" s="57"/>
      <c r="D171" s="52">
        <v>46038</v>
      </c>
      <c r="E171" s="52">
        <v>46068</v>
      </c>
    </row>
    <row r="172" spans="1:5" ht="15.75" hidden="1" customHeight="1" x14ac:dyDescent="0.25">
      <c r="A172" s="51" t="s">
        <v>437</v>
      </c>
      <c r="B172" s="49" t="s">
        <v>438</v>
      </c>
      <c r="C172" s="57"/>
      <c r="D172" s="52">
        <v>46038</v>
      </c>
      <c r="E172" s="52">
        <v>46068</v>
      </c>
    </row>
    <row r="173" spans="1:5" ht="15" customHeight="1" x14ac:dyDescent="0.25">
      <c r="A173" s="51" t="s">
        <v>93</v>
      </c>
      <c r="B173" s="49" t="s">
        <v>94</v>
      </c>
      <c r="C173" s="56">
        <v>6</v>
      </c>
      <c r="D173" s="52">
        <v>46038</v>
      </c>
      <c r="E173" s="52">
        <v>46068</v>
      </c>
    </row>
    <row r="174" spans="1:5" ht="15.75" hidden="1" customHeight="1" x14ac:dyDescent="0.25">
      <c r="A174" s="51" t="s">
        <v>95</v>
      </c>
      <c r="B174" s="49" t="s">
        <v>96</v>
      </c>
      <c r="C174" s="56"/>
      <c r="D174" s="52">
        <v>46038</v>
      </c>
      <c r="E174" s="52">
        <v>46068</v>
      </c>
    </row>
    <row r="175" spans="1:5" ht="15" customHeight="1" x14ac:dyDescent="0.25">
      <c r="A175" s="51" t="s">
        <v>304</v>
      </c>
      <c r="B175" s="49" t="s">
        <v>305</v>
      </c>
      <c r="C175" s="57">
        <v>4.05</v>
      </c>
      <c r="D175" s="52">
        <v>46038</v>
      </c>
      <c r="E175" s="52">
        <v>46068</v>
      </c>
    </row>
    <row r="176" spans="1:5" ht="15" customHeight="1" x14ac:dyDescent="0.25">
      <c r="A176" s="51" t="s">
        <v>356</v>
      </c>
      <c r="B176" s="49" t="s">
        <v>357</v>
      </c>
      <c r="C176" s="57">
        <v>19.2</v>
      </c>
      <c r="D176" s="52">
        <v>46038</v>
      </c>
      <c r="E176" s="52">
        <v>46068</v>
      </c>
    </row>
    <row r="177" spans="1:5" ht="15.75" hidden="1" customHeight="1" x14ac:dyDescent="0.25">
      <c r="A177" s="55" t="s">
        <v>182</v>
      </c>
      <c r="B177" s="53" t="s">
        <v>441</v>
      </c>
      <c r="C177" s="57"/>
      <c r="D177" s="52">
        <v>46038</v>
      </c>
      <c r="E177" s="52">
        <v>46068</v>
      </c>
    </row>
    <row r="178" spans="1:5" ht="15" customHeight="1" x14ac:dyDescent="0.25">
      <c r="A178" s="51" t="s">
        <v>92</v>
      </c>
      <c r="B178" s="49" t="s">
        <v>115</v>
      </c>
      <c r="C178" s="56">
        <v>13</v>
      </c>
      <c r="D178" s="52">
        <v>46038</v>
      </c>
      <c r="E178" s="52">
        <v>46068</v>
      </c>
    </row>
    <row r="179" spans="1:5" ht="15.75" hidden="1" customHeight="1" x14ac:dyDescent="0.25">
      <c r="A179" s="51" t="s">
        <v>467</v>
      </c>
      <c r="B179" s="49" t="s">
        <v>468</v>
      </c>
      <c r="C179" s="57"/>
      <c r="D179" s="52">
        <v>46038</v>
      </c>
      <c r="E179" s="52">
        <v>46068</v>
      </c>
    </row>
    <row r="180" spans="1:5" ht="15.75" hidden="1" customHeight="1" x14ac:dyDescent="0.25">
      <c r="A180" s="55" t="s">
        <v>60</v>
      </c>
      <c r="B180" s="53" t="s">
        <v>77</v>
      </c>
      <c r="C180" s="57"/>
      <c r="D180" s="52">
        <v>46038</v>
      </c>
      <c r="E180" s="52">
        <v>46068</v>
      </c>
    </row>
    <row r="181" spans="1:5" ht="15.75" hidden="1" customHeight="1" x14ac:dyDescent="0.25">
      <c r="A181" s="51" t="s">
        <v>358</v>
      </c>
      <c r="B181" s="49" t="s">
        <v>359</v>
      </c>
      <c r="C181" s="57"/>
      <c r="D181" s="52">
        <v>46038</v>
      </c>
      <c r="E181" s="52">
        <v>46068</v>
      </c>
    </row>
    <row r="182" spans="1:5" ht="15" customHeight="1" x14ac:dyDescent="0.25">
      <c r="A182" s="54" t="s">
        <v>429</v>
      </c>
      <c r="B182" s="50" t="s">
        <v>430</v>
      </c>
      <c r="C182" s="56">
        <v>12</v>
      </c>
      <c r="D182" s="52">
        <v>46038</v>
      </c>
      <c r="E182" s="52">
        <v>46068</v>
      </c>
    </row>
    <row r="183" spans="1:5" ht="15" customHeight="1" x14ac:dyDescent="0.25">
      <c r="A183" s="51" t="s">
        <v>251</v>
      </c>
      <c r="B183" s="49" t="s">
        <v>239</v>
      </c>
      <c r="C183" s="56">
        <v>16.399999999999999</v>
      </c>
      <c r="D183" s="52">
        <v>46038</v>
      </c>
      <c r="E183" s="52">
        <v>46068</v>
      </c>
    </row>
    <row r="184" spans="1:5" ht="15" customHeight="1" x14ac:dyDescent="0.25">
      <c r="A184" s="55" t="s">
        <v>172</v>
      </c>
      <c r="B184" s="53" t="s">
        <v>173</v>
      </c>
      <c r="C184" s="57">
        <v>22.1</v>
      </c>
      <c r="D184" s="52">
        <v>46038</v>
      </c>
      <c r="E184" s="52">
        <v>46068</v>
      </c>
    </row>
    <row r="185" spans="1:5" ht="15.75" hidden="1" customHeight="1" x14ac:dyDescent="0.25">
      <c r="A185" s="51" t="s">
        <v>118</v>
      </c>
      <c r="B185" s="49" t="s">
        <v>119</v>
      </c>
      <c r="C185" s="56"/>
      <c r="D185" s="52">
        <v>46038</v>
      </c>
      <c r="E185" s="52">
        <v>46068</v>
      </c>
    </row>
    <row r="186" spans="1:5" ht="15.75" hidden="1" customHeight="1" x14ac:dyDescent="0.25">
      <c r="A186" s="51" t="s">
        <v>213</v>
      </c>
      <c r="B186" s="49" t="s">
        <v>214</v>
      </c>
      <c r="C186" s="56"/>
      <c r="D186" s="52">
        <v>46038</v>
      </c>
      <c r="E186" s="52">
        <v>46068</v>
      </c>
    </row>
    <row r="187" spans="1:5" ht="15" customHeight="1" x14ac:dyDescent="0.25">
      <c r="A187" s="55" t="s">
        <v>199</v>
      </c>
      <c r="B187" s="53" t="s">
        <v>200</v>
      </c>
      <c r="C187" s="57">
        <v>3</v>
      </c>
      <c r="D187" s="52">
        <v>46038</v>
      </c>
      <c r="E187" s="52">
        <v>46068</v>
      </c>
    </row>
    <row r="188" spans="1:5" ht="15" customHeight="1" x14ac:dyDescent="0.25">
      <c r="A188" s="55" t="s">
        <v>799</v>
      </c>
      <c r="B188" s="53" t="s">
        <v>289</v>
      </c>
      <c r="C188" s="57">
        <v>6.3</v>
      </c>
      <c r="D188" s="52">
        <v>46038</v>
      </c>
      <c r="E188" s="52">
        <v>46068</v>
      </c>
    </row>
    <row r="189" spans="1:5" ht="15" customHeight="1" x14ac:dyDescent="0.25">
      <c r="A189" s="55" t="s">
        <v>141</v>
      </c>
      <c r="B189" s="53" t="s">
        <v>142</v>
      </c>
      <c r="C189" s="57">
        <v>6.2</v>
      </c>
      <c r="D189" s="52">
        <v>46038</v>
      </c>
      <c r="E189" s="52">
        <v>46068</v>
      </c>
    </row>
    <row r="190" spans="1:5" ht="15.75" hidden="1" customHeight="1" x14ac:dyDescent="0.25">
      <c r="A190" s="51" t="s">
        <v>16</v>
      </c>
      <c r="B190" s="49" t="s">
        <v>37</v>
      </c>
      <c r="C190" s="56"/>
      <c r="D190" s="52">
        <v>46038</v>
      </c>
      <c r="E190" s="52">
        <v>46068</v>
      </c>
    </row>
    <row r="191" spans="1:5" ht="15" customHeight="1" x14ac:dyDescent="0.25">
      <c r="A191" s="51" t="s">
        <v>779</v>
      </c>
      <c r="B191" s="49" t="s">
        <v>780</v>
      </c>
      <c r="C191" s="56">
        <v>6.2</v>
      </c>
      <c r="D191" s="52">
        <v>46038</v>
      </c>
      <c r="E191" s="52">
        <v>46068</v>
      </c>
    </row>
    <row r="192" spans="1:5" ht="15" customHeight="1" x14ac:dyDescent="0.25">
      <c r="A192" s="51" t="s">
        <v>391</v>
      </c>
      <c r="B192" s="49" t="s">
        <v>395</v>
      </c>
      <c r="C192" s="57">
        <v>9.3000000000000007</v>
      </c>
      <c r="D192" s="52">
        <v>46038</v>
      </c>
      <c r="E192" s="52">
        <v>46068</v>
      </c>
    </row>
    <row r="193" spans="1:5" ht="15.75" hidden="1" customHeight="1" x14ac:dyDescent="0.25">
      <c r="A193" s="55" t="s">
        <v>299</v>
      </c>
      <c r="B193" s="50" t="s">
        <v>300</v>
      </c>
      <c r="C193" s="56"/>
      <c r="D193" s="52">
        <v>46038</v>
      </c>
      <c r="E193" s="52">
        <v>46068</v>
      </c>
    </row>
    <row r="194" spans="1:5" ht="15.75" hidden="1" customHeight="1" x14ac:dyDescent="0.25">
      <c r="A194" s="55" t="s">
        <v>150</v>
      </c>
      <c r="B194" s="50" t="s">
        <v>316</v>
      </c>
      <c r="C194" s="56"/>
      <c r="D194" s="52">
        <v>46038</v>
      </c>
      <c r="E194" s="52">
        <v>46068</v>
      </c>
    </row>
    <row r="195" spans="1:5" ht="15" customHeight="1" x14ac:dyDescent="0.25">
      <c r="A195" s="55" t="s">
        <v>66</v>
      </c>
      <c r="B195" s="53" t="s">
        <v>65</v>
      </c>
      <c r="C195" s="57">
        <v>3.2</v>
      </c>
      <c r="D195" s="52">
        <v>46038</v>
      </c>
      <c r="E195" s="52">
        <v>46068</v>
      </c>
    </row>
    <row r="196" spans="1:5" ht="15.75" hidden="1" customHeight="1" x14ac:dyDescent="0.25">
      <c r="A196" s="55" t="s">
        <v>372</v>
      </c>
      <c r="B196" s="53" t="s">
        <v>264</v>
      </c>
      <c r="C196" s="57"/>
      <c r="D196" s="52">
        <v>46038</v>
      </c>
      <c r="E196" s="52">
        <v>46068</v>
      </c>
    </row>
    <row r="197" spans="1:5" ht="15.75" hidden="1" customHeight="1" x14ac:dyDescent="0.25">
      <c r="A197" s="51" t="s">
        <v>17</v>
      </c>
      <c r="B197" s="49" t="s">
        <v>35</v>
      </c>
      <c r="C197" s="57"/>
      <c r="D197" s="52">
        <v>46038</v>
      </c>
      <c r="E197" s="52">
        <v>46068</v>
      </c>
    </row>
    <row r="198" spans="1:5" ht="15.75" hidden="1" customHeight="1" x14ac:dyDescent="0.25">
      <c r="A198" s="55" t="s">
        <v>160</v>
      </c>
      <c r="B198" s="53" t="s">
        <v>149</v>
      </c>
      <c r="C198" s="57"/>
      <c r="D198" s="52">
        <v>46038</v>
      </c>
      <c r="E198" s="52">
        <v>46068</v>
      </c>
    </row>
    <row r="199" spans="1:5" ht="15.75" hidden="1" customHeight="1" x14ac:dyDescent="0.25">
      <c r="A199" s="55" t="s">
        <v>137</v>
      </c>
      <c r="B199" s="53" t="s">
        <v>138</v>
      </c>
      <c r="C199" s="57"/>
      <c r="D199" s="52">
        <v>46038</v>
      </c>
      <c r="E199" s="52">
        <v>46068</v>
      </c>
    </row>
    <row r="200" spans="1:5" ht="15.75" hidden="1" customHeight="1" x14ac:dyDescent="0.25">
      <c r="A200" s="51" t="s">
        <v>183</v>
      </c>
      <c r="B200" s="49" t="s">
        <v>184</v>
      </c>
      <c r="C200" s="56"/>
      <c r="D200" s="52">
        <v>46038</v>
      </c>
      <c r="E200" s="52">
        <v>46068</v>
      </c>
    </row>
    <row r="201" spans="1:5" ht="15.75" hidden="1" customHeight="1" x14ac:dyDescent="0.25">
      <c r="A201" s="51" t="s">
        <v>222</v>
      </c>
      <c r="B201" s="49" t="s">
        <v>253</v>
      </c>
      <c r="C201" s="56"/>
      <c r="D201" s="52">
        <v>46038</v>
      </c>
      <c r="E201" s="52">
        <v>46068</v>
      </c>
    </row>
    <row r="202" spans="1:5" ht="15" customHeight="1" x14ac:dyDescent="0.25">
      <c r="A202" s="55" t="s">
        <v>28</v>
      </c>
      <c r="B202" s="53" t="s">
        <v>171</v>
      </c>
      <c r="C202" s="57">
        <v>3</v>
      </c>
      <c r="D202" s="52">
        <v>46038</v>
      </c>
      <c r="E202" s="52">
        <v>46068</v>
      </c>
    </row>
    <row r="203" spans="1:5" ht="15.75" hidden="1" customHeight="1" x14ac:dyDescent="0.25">
      <c r="A203" s="51" t="s">
        <v>135</v>
      </c>
      <c r="B203" s="49" t="s">
        <v>136</v>
      </c>
      <c r="C203" s="56"/>
      <c r="D203" s="52">
        <v>46038</v>
      </c>
      <c r="E203" s="52">
        <v>46068</v>
      </c>
    </row>
    <row r="204" spans="1:5" ht="15.75" hidden="1" customHeight="1" x14ac:dyDescent="0.25">
      <c r="A204" s="51" t="s">
        <v>72</v>
      </c>
      <c r="B204" s="49" t="s">
        <v>781</v>
      </c>
      <c r="C204" s="56"/>
      <c r="D204" s="52">
        <v>46038</v>
      </c>
      <c r="E204" s="52">
        <v>46068</v>
      </c>
    </row>
    <row r="205" spans="1:5" ht="15.75" hidden="1" customHeight="1" x14ac:dyDescent="0.25">
      <c r="A205" s="55" t="s">
        <v>277</v>
      </c>
      <c r="B205" s="53" t="s">
        <v>290</v>
      </c>
      <c r="C205" s="57"/>
      <c r="D205" s="52">
        <v>46038</v>
      </c>
      <c r="E205" s="52">
        <v>46068</v>
      </c>
    </row>
    <row r="206" spans="1:5" ht="15.75" hidden="1" customHeight="1" x14ac:dyDescent="0.25">
      <c r="A206" s="55" t="s">
        <v>315</v>
      </c>
      <c r="B206" s="53" t="s">
        <v>314</v>
      </c>
      <c r="C206" s="57"/>
      <c r="D206" s="52">
        <v>46038</v>
      </c>
      <c r="E206" s="52">
        <v>46068</v>
      </c>
    </row>
    <row r="207" spans="1:5" ht="15.75" hidden="1" customHeight="1" x14ac:dyDescent="0.25">
      <c r="A207" s="51" t="s">
        <v>388</v>
      </c>
      <c r="B207" s="49" t="s">
        <v>397</v>
      </c>
      <c r="C207" s="56"/>
      <c r="D207" s="52">
        <v>46038</v>
      </c>
      <c r="E207" s="52">
        <v>46068</v>
      </c>
    </row>
    <row r="208" spans="1:5" ht="15" customHeight="1" x14ac:dyDescent="0.25">
      <c r="A208" s="51" t="s">
        <v>401</v>
      </c>
      <c r="B208" s="49" t="s">
        <v>406</v>
      </c>
      <c r="C208" s="56">
        <v>3</v>
      </c>
      <c r="D208" s="52">
        <v>46038</v>
      </c>
      <c r="E208" s="52">
        <v>46068</v>
      </c>
    </row>
    <row r="209" spans="1:5" ht="15.75" hidden="1" customHeight="1" x14ac:dyDescent="0.25">
      <c r="A209" s="51" t="s">
        <v>306</v>
      </c>
      <c r="B209" s="49" t="s">
        <v>307</v>
      </c>
      <c r="C209" s="56"/>
      <c r="D209" s="52">
        <v>46038</v>
      </c>
      <c r="E209" s="52">
        <v>46068</v>
      </c>
    </row>
    <row r="210" spans="1:5" ht="15.75" hidden="1" customHeight="1" x14ac:dyDescent="0.25">
      <c r="A210" s="55" t="s">
        <v>385</v>
      </c>
      <c r="B210" s="53" t="s">
        <v>59</v>
      </c>
      <c r="C210" s="57"/>
      <c r="D210" s="52">
        <v>46038</v>
      </c>
      <c r="E210" s="52">
        <v>46068</v>
      </c>
    </row>
    <row r="211" spans="1:5" ht="15" customHeight="1" x14ac:dyDescent="0.25">
      <c r="A211" s="55" t="s">
        <v>180</v>
      </c>
      <c r="B211" s="53" t="s">
        <v>181</v>
      </c>
      <c r="C211" s="57">
        <v>3</v>
      </c>
      <c r="D211" s="52">
        <v>46038</v>
      </c>
      <c r="E211" s="52">
        <v>46068</v>
      </c>
    </row>
    <row r="212" spans="1:5" ht="15" customHeight="1" x14ac:dyDescent="0.25">
      <c r="A212" s="51" t="s">
        <v>19</v>
      </c>
      <c r="B212" s="49" t="s">
        <v>41</v>
      </c>
      <c r="C212" s="56">
        <v>18</v>
      </c>
      <c r="D212" s="52">
        <v>46038</v>
      </c>
      <c r="E212" s="52">
        <v>46068</v>
      </c>
    </row>
    <row r="213" spans="1:5" ht="15" customHeight="1" x14ac:dyDescent="0.25">
      <c r="A213" s="55" t="s">
        <v>782</v>
      </c>
      <c r="B213" s="53" t="s">
        <v>783</v>
      </c>
      <c r="C213" s="57">
        <v>12.4</v>
      </c>
      <c r="D213" s="52">
        <v>46038</v>
      </c>
      <c r="E213" s="52">
        <v>46068</v>
      </c>
    </row>
    <row r="214" spans="1:5" ht="15.75" customHeight="1" x14ac:dyDescent="0.25"/>
    <row r="215" spans="1:5" ht="15.75" customHeight="1" x14ac:dyDescent="0.25"/>
    <row r="216" spans="1:5" ht="15.75" customHeight="1" x14ac:dyDescent="0.25"/>
    <row r="217" spans="1:5" ht="15.75" customHeight="1" x14ac:dyDescent="0.25"/>
    <row r="218" spans="1:5" ht="15.75" customHeight="1" x14ac:dyDescent="0.25"/>
    <row r="219" spans="1:5" ht="15.75" customHeight="1" x14ac:dyDescent="0.25"/>
    <row r="220" spans="1:5" ht="15.75" customHeight="1" x14ac:dyDescent="0.25"/>
    <row r="221" spans="1:5" ht="15.75" customHeight="1" x14ac:dyDescent="0.25"/>
    <row r="222" spans="1:5" ht="15.75" customHeight="1" x14ac:dyDescent="0.25"/>
    <row r="223" spans="1:5" ht="15.75" customHeight="1" x14ac:dyDescent="0.25"/>
    <row r="224" spans="1: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</sheetData>
  <autoFilter ref="A4:E213" xr:uid="{00000000-0009-0000-0000-00000B000000}">
    <filterColumn colId="2">
      <customFilters>
        <customFilter operator="notEqual" val=" "/>
      </customFilters>
    </filterColumn>
    <sortState xmlns:xlrd2="http://schemas.microsoft.com/office/spreadsheetml/2017/richdata2" ref="A5:E213">
      <sortCondition ref="B5:B213"/>
    </sortState>
  </autoFilter>
  <sortState xmlns:xlrd2="http://schemas.microsoft.com/office/spreadsheetml/2017/richdata2" ref="A5:E30">
    <sortCondition ref="B5:B30"/>
  </sortState>
  <mergeCells count="2">
    <mergeCell ref="A1:E1"/>
    <mergeCell ref="A2:E2"/>
  </mergeCells>
  <phoneticPr fontId="8" type="noConversion"/>
  <pageMargins left="1.1023622047244095" right="0" top="0.74803149606299213" bottom="0.94488188976377963" header="0" footer="0"/>
  <pageSetup paperSize="5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6E3FD-310B-4152-941A-AA5904F656AA}">
  <sheetPr filterMode="1">
    <tabColor theme="4"/>
  </sheetPr>
  <dimension ref="A1:K962"/>
  <sheetViews>
    <sheetView workbookViewId="0">
      <selection activeCell="K89" sqref="K89"/>
    </sheetView>
  </sheetViews>
  <sheetFormatPr baseColWidth="10" defaultColWidth="14.42578125" defaultRowHeight="15" x14ac:dyDescent="0.25"/>
  <cols>
    <col min="1" max="1" width="12.85546875" style="3" customWidth="1"/>
    <col min="2" max="2" width="33.7109375" bestFit="1" customWidth="1"/>
    <col min="3" max="3" width="11.28515625" style="3" customWidth="1"/>
    <col min="4" max="6" width="11.42578125" customWidth="1"/>
    <col min="7" max="26" width="10" customWidth="1"/>
  </cols>
  <sheetData>
    <row r="1" spans="1:5" ht="15.75" customHeight="1" x14ac:dyDescent="0.25">
      <c r="A1" s="81" t="s">
        <v>958</v>
      </c>
      <c r="B1" s="82"/>
      <c r="C1" s="82"/>
      <c r="D1" s="82"/>
      <c r="E1" s="82"/>
    </row>
    <row r="2" spans="1:5" ht="15.75" customHeight="1" x14ac:dyDescent="0.25">
      <c r="A2" s="83" t="s">
        <v>750</v>
      </c>
      <c r="B2" s="83"/>
      <c r="C2" s="83"/>
      <c r="D2" s="83"/>
      <c r="E2" s="83"/>
    </row>
    <row r="4" spans="1:5" ht="44.25" customHeight="1" x14ac:dyDescent="0.25">
      <c r="A4" s="4" t="s">
        <v>0</v>
      </c>
      <c r="B4" s="4" t="s">
        <v>1</v>
      </c>
      <c r="C4" s="4" t="s">
        <v>749</v>
      </c>
      <c r="D4" s="4" t="s">
        <v>3</v>
      </c>
      <c r="E4" s="4" t="s">
        <v>4</v>
      </c>
    </row>
    <row r="5" spans="1:5" s="6" customFormat="1" ht="15" hidden="1" customHeight="1" x14ac:dyDescent="0.25">
      <c r="A5" s="51" t="s">
        <v>163</v>
      </c>
      <c r="B5" s="49" t="s">
        <v>392</v>
      </c>
      <c r="C5" s="63"/>
      <c r="D5" s="64">
        <v>46038</v>
      </c>
      <c r="E5" s="64">
        <v>46068</v>
      </c>
    </row>
    <row r="6" spans="1:5" s="6" customFormat="1" ht="15" hidden="1" customHeight="1" x14ac:dyDescent="0.25">
      <c r="A6" s="55" t="s">
        <v>386</v>
      </c>
      <c r="B6" s="53" t="s">
        <v>414</v>
      </c>
      <c r="C6" s="65"/>
      <c r="D6" s="64">
        <v>46038</v>
      </c>
      <c r="E6" s="64">
        <v>46068</v>
      </c>
    </row>
    <row r="7" spans="1:5" s="6" customFormat="1" ht="15" hidden="1" customHeight="1" x14ac:dyDescent="0.25">
      <c r="A7" s="55" t="s">
        <v>102</v>
      </c>
      <c r="B7" s="53" t="s">
        <v>103</v>
      </c>
      <c r="C7" s="65"/>
      <c r="D7" s="64">
        <v>46038</v>
      </c>
      <c r="E7" s="64">
        <v>46068</v>
      </c>
    </row>
    <row r="8" spans="1:5" s="6" customFormat="1" ht="15" hidden="1" customHeight="1" x14ac:dyDescent="0.25">
      <c r="A8" s="51" t="s">
        <v>116</v>
      </c>
      <c r="B8" s="49" t="s">
        <v>117</v>
      </c>
      <c r="C8" s="66"/>
      <c r="D8" s="64">
        <v>46038</v>
      </c>
      <c r="E8" s="64">
        <v>46068</v>
      </c>
    </row>
    <row r="9" spans="1:5" s="6" customFormat="1" ht="15" hidden="1" customHeight="1" x14ac:dyDescent="0.25">
      <c r="A9" s="69" t="s">
        <v>428</v>
      </c>
      <c r="B9" s="62" t="s">
        <v>427</v>
      </c>
      <c r="C9" s="67"/>
      <c r="D9" s="64">
        <v>46038</v>
      </c>
      <c r="E9" s="64">
        <v>46068</v>
      </c>
    </row>
    <row r="10" spans="1:5" s="6" customFormat="1" ht="15" hidden="1" customHeight="1" x14ac:dyDescent="0.25">
      <c r="A10" s="70" t="s">
        <v>274</v>
      </c>
      <c r="B10" s="62" t="s">
        <v>317</v>
      </c>
      <c r="C10" s="66"/>
      <c r="D10" s="64">
        <v>46038</v>
      </c>
      <c r="E10" s="64">
        <v>46068</v>
      </c>
    </row>
    <row r="11" spans="1:5" s="6" customFormat="1" ht="15" customHeight="1" x14ac:dyDescent="0.25">
      <c r="A11" s="55" t="s">
        <v>139</v>
      </c>
      <c r="B11" s="53" t="s">
        <v>140</v>
      </c>
      <c r="C11" s="63">
        <v>4</v>
      </c>
      <c r="D11" s="64">
        <v>46038</v>
      </c>
      <c r="E11" s="64">
        <v>46068</v>
      </c>
    </row>
    <row r="12" spans="1:5" s="6" customFormat="1" ht="15" hidden="1" customHeight="1" x14ac:dyDescent="0.25">
      <c r="A12" s="51" t="s">
        <v>318</v>
      </c>
      <c r="B12" s="49" t="s">
        <v>319</v>
      </c>
      <c r="C12" s="66"/>
      <c r="D12" s="64">
        <v>46038</v>
      </c>
      <c r="E12" s="64">
        <v>46068</v>
      </c>
    </row>
    <row r="13" spans="1:5" s="6" customFormat="1" ht="15" hidden="1" customHeight="1" x14ac:dyDescent="0.25">
      <c r="A13" s="55" t="s">
        <v>206</v>
      </c>
      <c r="B13" s="53" t="s">
        <v>224</v>
      </c>
      <c r="C13" s="65"/>
      <c r="D13" s="64">
        <v>46038</v>
      </c>
      <c r="E13" s="64">
        <v>46068</v>
      </c>
    </row>
    <row r="14" spans="1:5" s="6" customFormat="1" ht="15" hidden="1" customHeight="1" x14ac:dyDescent="0.25">
      <c r="A14" s="51" t="s">
        <v>238</v>
      </c>
      <c r="B14" s="53" t="s">
        <v>227</v>
      </c>
      <c r="C14" s="65"/>
      <c r="D14" s="64">
        <v>46038</v>
      </c>
      <c r="E14" s="64">
        <v>46068</v>
      </c>
    </row>
    <row r="15" spans="1:5" s="6" customFormat="1" ht="15" customHeight="1" x14ac:dyDescent="0.25">
      <c r="A15" s="55" t="s">
        <v>112</v>
      </c>
      <c r="B15" s="53" t="s">
        <v>113</v>
      </c>
      <c r="C15" s="63">
        <v>4</v>
      </c>
      <c r="D15" s="64">
        <v>46038</v>
      </c>
      <c r="E15" s="64">
        <v>46068</v>
      </c>
    </row>
    <row r="16" spans="1:5" s="6" customFormat="1" ht="15" hidden="1" customHeight="1" x14ac:dyDescent="0.25">
      <c r="A16" s="70" t="s">
        <v>230</v>
      </c>
      <c r="B16" s="62" t="s">
        <v>231</v>
      </c>
      <c r="C16" s="66"/>
      <c r="D16" s="64">
        <v>46038</v>
      </c>
      <c r="E16" s="64">
        <v>46068</v>
      </c>
    </row>
    <row r="17" spans="1:5" s="6" customFormat="1" ht="15" customHeight="1" x14ac:dyDescent="0.25">
      <c r="A17" s="51" t="s">
        <v>127</v>
      </c>
      <c r="B17" s="49" t="s">
        <v>128</v>
      </c>
      <c r="C17" s="63">
        <v>4</v>
      </c>
      <c r="D17" s="64">
        <v>46038</v>
      </c>
      <c r="E17" s="64">
        <v>46068</v>
      </c>
    </row>
    <row r="18" spans="1:5" s="6" customFormat="1" ht="15" hidden="1" customHeight="1" x14ac:dyDescent="0.25">
      <c r="A18" s="55" t="s">
        <v>204</v>
      </c>
      <c r="B18" s="53" t="s">
        <v>205</v>
      </c>
      <c r="C18" s="65"/>
      <c r="D18" s="64">
        <v>46038</v>
      </c>
      <c r="E18" s="64">
        <v>46068</v>
      </c>
    </row>
    <row r="19" spans="1:5" s="6" customFormat="1" ht="15" hidden="1" customHeight="1" x14ac:dyDescent="0.25">
      <c r="A19" s="51" t="s">
        <v>176</v>
      </c>
      <c r="B19" s="49" t="s">
        <v>177</v>
      </c>
      <c r="C19" s="66"/>
      <c r="D19" s="64">
        <v>46038</v>
      </c>
      <c r="E19" s="64">
        <v>46068</v>
      </c>
    </row>
    <row r="20" spans="1:5" s="6" customFormat="1" ht="15" customHeight="1" x14ac:dyDescent="0.25">
      <c r="A20" s="51" t="s">
        <v>189</v>
      </c>
      <c r="B20" s="53" t="s">
        <v>190</v>
      </c>
      <c r="C20" s="63">
        <v>21</v>
      </c>
      <c r="D20" s="64">
        <v>46038</v>
      </c>
      <c r="E20" s="64">
        <v>46068</v>
      </c>
    </row>
    <row r="21" spans="1:5" s="6" customFormat="1" ht="15" hidden="1" customHeight="1" x14ac:dyDescent="0.25">
      <c r="A21" s="51" t="s">
        <v>433</v>
      </c>
      <c r="B21" s="49" t="s">
        <v>419</v>
      </c>
      <c r="C21" s="65"/>
      <c r="D21" s="64">
        <v>46038</v>
      </c>
      <c r="E21" s="64">
        <v>46068</v>
      </c>
    </row>
    <row r="22" spans="1:5" s="6" customFormat="1" ht="15" hidden="1" customHeight="1" x14ac:dyDescent="0.25">
      <c r="A22" s="54" t="s">
        <v>164</v>
      </c>
      <c r="B22" s="50" t="s">
        <v>165</v>
      </c>
      <c r="C22" s="65"/>
      <c r="D22" s="64">
        <v>46038</v>
      </c>
      <c r="E22" s="64">
        <v>46068</v>
      </c>
    </row>
    <row r="23" spans="1:5" s="6" customFormat="1" ht="15" hidden="1" customHeight="1" x14ac:dyDescent="0.25">
      <c r="A23" s="51" t="s">
        <v>293</v>
      </c>
      <c r="B23" s="49" t="s">
        <v>294</v>
      </c>
      <c r="C23" s="65"/>
      <c r="D23" s="64">
        <v>46038</v>
      </c>
      <c r="E23" s="64">
        <v>46068</v>
      </c>
    </row>
    <row r="24" spans="1:5" s="6" customFormat="1" ht="15" hidden="1" customHeight="1" x14ac:dyDescent="0.25">
      <c r="A24" s="51" t="s">
        <v>98</v>
      </c>
      <c r="B24" s="49" t="s">
        <v>99</v>
      </c>
      <c r="C24" s="66"/>
      <c r="D24" s="64">
        <v>46038</v>
      </c>
      <c r="E24" s="64">
        <v>46068</v>
      </c>
    </row>
    <row r="25" spans="1:5" ht="15" hidden="1" customHeight="1" x14ac:dyDescent="0.25">
      <c r="A25" s="51" t="s">
        <v>340</v>
      </c>
      <c r="B25" s="49" t="s">
        <v>341</v>
      </c>
      <c r="C25" s="67"/>
      <c r="D25" s="64">
        <v>46038</v>
      </c>
      <c r="E25" s="64">
        <v>46068</v>
      </c>
    </row>
    <row r="26" spans="1:5" ht="15" hidden="1" customHeight="1" x14ac:dyDescent="0.25">
      <c r="A26" s="51" t="s">
        <v>342</v>
      </c>
      <c r="B26" s="49" t="s">
        <v>269</v>
      </c>
      <c r="C26" s="66"/>
      <c r="D26" s="64">
        <v>46038</v>
      </c>
      <c r="E26" s="64">
        <v>46068</v>
      </c>
    </row>
    <row r="27" spans="1:5" ht="15" hidden="1" customHeight="1" x14ac:dyDescent="0.25">
      <c r="A27" s="51" t="s">
        <v>267</v>
      </c>
      <c r="B27" s="49" t="s">
        <v>268</v>
      </c>
      <c r="C27" s="66"/>
      <c r="D27" s="64">
        <v>46038</v>
      </c>
      <c r="E27" s="64">
        <v>46068</v>
      </c>
    </row>
    <row r="28" spans="1:5" ht="15" hidden="1" customHeight="1" x14ac:dyDescent="0.25">
      <c r="A28" s="51" t="s">
        <v>280</v>
      </c>
      <c r="B28" s="49" t="s">
        <v>281</v>
      </c>
      <c r="C28" s="63"/>
      <c r="D28" s="64">
        <v>46038</v>
      </c>
      <c r="E28" s="64">
        <v>46068</v>
      </c>
    </row>
    <row r="29" spans="1:5" ht="15" hidden="1" customHeight="1" x14ac:dyDescent="0.25">
      <c r="A29" s="51" t="s">
        <v>271</v>
      </c>
      <c r="B29" s="49" t="s">
        <v>272</v>
      </c>
      <c r="C29" s="66"/>
      <c r="D29" s="64">
        <v>46038</v>
      </c>
      <c r="E29" s="64">
        <v>46068</v>
      </c>
    </row>
    <row r="30" spans="1:5" ht="15" hidden="1" customHeight="1" x14ac:dyDescent="0.25">
      <c r="A30" s="69" t="s">
        <v>390</v>
      </c>
      <c r="B30" s="49" t="s">
        <v>384</v>
      </c>
      <c r="C30" s="63"/>
      <c r="D30" s="64">
        <v>46038</v>
      </c>
      <c r="E30" s="64">
        <v>46068</v>
      </c>
    </row>
    <row r="31" spans="1:5" ht="15" hidden="1" customHeight="1" x14ac:dyDescent="0.25">
      <c r="A31" s="70" t="s">
        <v>254</v>
      </c>
      <c r="B31" s="62" t="s">
        <v>255</v>
      </c>
      <c r="C31" s="66"/>
      <c r="D31" s="64">
        <v>46038</v>
      </c>
      <c r="E31" s="64">
        <v>46068</v>
      </c>
    </row>
    <row r="32" spans="1:5" ht="15" hidden="1" customHeight="1" x14ac:dyDescent="0.25">
      <c r="A32" s="54" t="s">
        <v>166</v>
      </c>
      <c r="B32" s="50" t="s">
        <v>374</v>
      </c>
      <c r="C32" s="65"/>
      <c r="D32" s="64">
        <v>46038</v>
      </c>
      <c r="E32" s="64">
        <v>46068</v>
      </c>
    </row>
    <row r="33" spans="1:5" ht="15" hidden="1" customHeight="1" x14ac:dyDescent="0.25">
      <c r="A33" s="54" t="s">
        <v>477</v>
      </c>
      <c r="B33" s="50" t="s">
        <v>455</v>
      </c>
      <c r="C33" s="65"/>
      <c r="D33" s="64">
        <v>46038</v>
      </c>
      <c r="E33" s="64">
        <v>46068</v>
      </c>
    </row>
    <row r="34" spans="1:5" ht="15" hidden="1" customHeight="1" x14ac:dyDescent="0.25">
      <c r="A34" s="51" t="s">
        <v>368</v>
      </c>
      <c r="B34" s="49" t="s">
        <v>369</v>
      </c>
      <c r="C34" s="66"/>
      <c r="D34" s="64">
        <v>46038</v>
      </c>
      <c r="E34" s="64">
        <v>46068</v>
      </c>
    </row>
    <row r="35" spans="1:5" ht="15" hidden="1" customHeight="1" x14ac:dyDescent="0.25">
      <c r="A35" s="51" t="s">
        <v>121</v>
      </c>
      <c r="B35" s="49" t="s">
        <v>122</v>
      </c>
      <c r="C35" s="65"/>
      <c r="D35" s="64">
        <v>46038</v>
      </c>
      <c r="E35" s="64">
        <v>46068</v>
      </c>
    </row>
    <row r="36" spans="1:5" ht="15" hidden="1" customHeight="1" x14ac:dyDescent="0.25">
      <c r="A36" s="55" t="s">
        <v>402</v>
      </c>
      <c r="B36" s="53" t="s">
        <v>403</v>
      </c>
      <c r="C36" s="65"/>
      <c r="D36" s="64">
        <v>46038</v>
      </c>
      <c r="E36" s="64">
        <v>46068</v>
      </c>
    </row>
    <row r="37" spans="1:5" ht="15" hidden="1" customHeight="1" x14ac:dyDescent="0.25">
      <c r="A37" s="51" t="s">
        <v>301</v>
      </c>
      <c r="B37" s="49" t="s">
        <v>302</v>
      </c>
      <c r="C37" s="65"/>
      <c r="D37" s="64">
        <v>46038</v>
      </c>
      <c r="E37" s="64">
        <v>46068</v>
      </c>
    </row>
    <row r="38" spans="1:5" ht="15" hidden="1" customHeight="1" x14ac:dyDescent="0.25">
      <c r="A38" s="51" t="s">
        <v>400</v>
      </c>
      <c r="B38" s="49" t="s">
        <v>373</v>
      </c>
      <c r="C38" s="66"/>
      <c r="D38" s="64">
        <v>46038</v>
      </c>
      <c r="E38" s="64">
        <v>46068</v>
      </c>
    </row>
    <row r="39" spans="1:5" ht="15" customHeight="1" x14ac:dyDescent="0.25">
      <c r="A39" s="55" t="s">
        <v>26</v>
      </c>
      <c r="B39" s="53" t="s">
        <v>27</v>
      </c>
      <c r="C39" s="63">
        <v>49</v>
      </c>
      <c r="D39" s="64">
        <v>46038</v>
      </c>
      <c r="E39" s="64">
        <v>46068</v>
      </c>
    </row>
    <row r="40" spans="1:5" ht="15" hidden="1" customHeight="1" x14ac:dyDescent="0.25">
      <c r="A40" s="70" t="s">
        <v>89</v>
      </c>
      <c r="B40" s="62" t="s">
        <v>85</v>
      </c>
      <c r="C40" s="66"/>
      <c r="D40" s="64">
        <v>46038</v>
      </c>
      <c r="E40" s="64">
        <v>46068</v>
      </c>
    </row>
    <row r="41" spans="1:5" ht="15" hidden="1" customHeight="1" x14ac:dyDescent="0.25">
      <c r="A41" s="51" t="s">
        <v>417</v>
      </c>
      <c r="B41" s="49" t="s">
        <v>418</v>
      </c>
      <c r="C41" s="67"/>
      <c r="D41" s="64">
        <v>46038</v>
      </c>
      <c r="E41" s="64">
        <v>46068</v>
      </c>
    </row>
    <row r="42" spans="1:5" ht="15" hidden="1" customHeight="1" x14ac:dyDescent="0.25">
      <c r="A42" s="54" t="s">
        <v>466</v>
      </c>
      <c r="B42" s="50" t="s">
        <v>763</v>
      </c>
      <c r="C42" s="65"/>
      <c r="D42" s="64">
        <v>46038</v>
      </c>
      <c r="E42" s="64">
        <v>46068</v>
      </c>
    </row>
    <row r="43" spans="1:5" ht="15" hidden="1" customHeight="1" x14ac:dyDescent="0.25">
      <c r="A43" s="51" t="s">
        <v>378</v>
      </c>
      <c r="B43" s="49" t="s">
        <v>379</v>
      </c>
      <c r="C43" s="66"/>
      <c r="D43" s="64">
        <v>46038</v>
      </c>
      <c r="E43" s="64">
        <v>46068</v>
      </c>
    </row>
    <row r="44" spans="1:5" ht="15" hidden="1" customHeight="1" x14ac:dyDescent="0.25">
      <c r="A44" s="51" t="s">
        <v>284</v>
      </c>
      <c r="B44" s="49" t="s">
        <v>312</v>
      </c>
      <c r="C44" s="65"/>
      <c r="D44" s="64">
        <v>46038</v>
      </c>
      <c r="E44" s="64">
        <v>46068</v>
      </c>
    </row>
    <row r="45" spans="1:5" ht="15" hidden="1" customHeight="1" x14ac:dyDescent="0.25">
      <c r="A45" s="51" t="s">
        <v>360</v>
      </c>
      <c r="B45" s="49" t="s">
        <v>361</v>
      </c>
      <c r="C45" s="65"/>
      <c r="D45" s="64">
        <v>46038</v>
      </c>
      <c r="E45" s="64">
        <v>46068</v>
      </c>
    </row>
    <row r="46" spans="1:5" ht="15" hidden="1" customHeight="1" x14ac:dyDescent="0.25">
      <c r="A46" s="51" t="s">
        <v>275</v>
      </c>
      <c r="B46" s="49" t="s">
        <v>276</v>
      </c>
      <c r="C46" s="65"/>
      <c r="D46" s="64">
        <v>46038</v>
      </c>
      <c r="E46" s="64">
        <v>46068</v>
      </c>
    </row>
    <row r="47" spans="1:5" ht="15" hidden="1" customHeight="1" x14ac:dyDescent="0.25">
      <c r="A47" s="51" t="s">
        <v>303</v>
      </c>
      <c r="B47" s="49" t="s">
        <v>285</v>
      </c>
      <c r="C47" s="65"/>
      <c r="D47" s="64">
        <v>46038</v>
      </c>
      <c r="E47" s="64">
        <v>46068</v>
      </c>
    </row>
    <row r="48" spans="1:5" ht="15" hidden="1" customHeight="1" x14ac:dyDescent="0.25">
      <c r="A48" s="51" t="s">
        <v>33</v>
      </c>
      <c r="B48" s="49" t="s">
        <v>153</v>
      </c>
      <c r="C48" s="67"/>
      <c r="D48" s="64">
        <v>46038</v>
      </c>
      <c r="E48" s="64">
        <v>46068</v>
      </c>
    </row>
    <row r="49" spans="1:11" ht="15" customHeight="1" x14ac:dyDescent="0.25">
      <c r="A49" s="55" t="s">
        <v>55</v>
      </c>
      <c r="B49" s="53" t="s">
        <v>54</v>
      </c>
      <c r="C49" s="63">
        <v>9</v>
      </c>
      <c r="D49" s="64">
        <v>46038</v>
      </c>
      <c r="E49" s="64">
        <v>46068</v>
      </c>
    </row>
    <row r="50" spans="1:11" ht="15" hidden="1" customHeight="1" x14ac:dyDescent="0.25">
      <c r="A50" s="51" t="s">
        <v>61</v>
      </c>
      <c r="B50" s="49" t="s">
        <v>62</v>
      </c>
      <c r="C50" s="63"/>
      <c r="D50" s="64">
        <v>46038</v>
      </c>
      <c r="E50" s="64">
        <v>46068</v>
      </c>
    </row>
    <row r="51" spans="1:11" ht="15" hidden="1" customHeight="1" x14ac:dyDescent="0.25">
      <c r="A51" s="51" t="s">
        <v>157</v>
      </c>
      <c r="B51" s="49" t="s">
        <v>156</v>
      </c>
      <c r="C51" s="66"/>
      <c r="D51" s="64">
        <v>46038</v>
      </c>
      <c r="E51" s="64">
        <v>46068</v>
      </c>
    </row>
    <row r="52" spans="1:11" ht="15" hidden="1" customHeight="1" x14ac:dyDescent="0.25">
      <c r="A52" s="51" t="s">
        <v>472</v>
      </c>
      <c r="B52" s="49" t="s">
        <v>473</v>
      </c>
      <c r="C52" s="66"/>
      <c r="D52" s="64">
        <v>46038</v>
      </c>
      <c r="E52" s="64">
        <v>46068</v>
      </c>
    </row>
    <row r="53" spans="1:11" ht="15" customHeight="1" x14ac:dyDescent="0.25">
      <c r="A53" s="51" t="s">
        <v>69</v>
      </c>
      <c r="B53" s="49" t="s">
        <v>764</v>
      </c>
      <c r="C53" s="67">
        <v>12.2</v>
      </c>
      <c r="D53" s="64">
        <v>46038</v>
      </c>
      <c r="E53" s="64">
        <v>46068</v>
      </c>
      <c r="K53" t="s">
        <v>956</v>
      </c>
    </row>
    <row r="54" spans="1:11" ht="15" hidden="1" customHeight="1" x14ac:dyDescent="0.25">
      <c r="A54" s="51" t="s">
        <v>240</v>
      </c>
      <c r="B54" s="49" t="s">
        <v>241</v>
      </c>
      <c r="C54" s="66"/>
      <c r="D54" s="64">
        <v>46038</v>
      </c>
      <c r="E54" s="64">
        <v>46068</v>
      </c>
    </row>
    <row r="55" spans="1:11" ht="15" hidden="1" customHeight="1" x14ac:dyDescent="0.25">
      <c r="A55" s="51" t="s">
        <v>48</v>
      </c>
      <c r="B55" s="49" t="s">
        <v>49</v>
      </c>
      <c r="C55" s="63"/>
      <c r="D55" s="64">
        <v>46038</v>
      </c>
      <c r="E55" s="64">
        <v>46068</v>
      </c>
    </row>
    <row r="56" spans="1:11" ht="15" hidden="1" customHeight="1" x14ac:dyDescent="0.25">
      <c r="A56" s="51" t="s">
        <v>29</v>
      </c>
      <c r="B56" s="49" t="s">
        <v>87</v>
      </c>
      <c r="C56" s="66"/>
      <c r="D56" s="64">
        <v>46038</v>
      </c>
      <c r="E56" s="64">
        <v>46068</v>
      </c>
    </row>
    <row r="57" spans="1:11" ht="15" hidden="1" customHeight="1" x14ac:dyDescent="0.25">
      <c r="A57" s="51" t="s">
        <v>174</v>
      </c>
      <c r="B57" s="49" t="s">
        <v>175</v>
      </c>
      <c r="C57" s="66"/>
      <c r="D57" s="64">
        <v>46038</v>
      </c>
      <c r="E57" s="64">
        <v>46068</v>
      </c>
    </row>
    <row r="58" spans="1:11" ht="15" hidden="1" customHeight="1" x14ac:dyDescent="0.25">
      <c r="A58" s="51" t="s">
        <v>765</v>
      </c>
      <c r="B58" s="49" t="s">
        <v>651</v>
      </c>
      <c r="C58" s="66"/>
      <c r="D58" s="64">
        <v>46038</v>
      </c>
      <c r="E58" s="64">
        <v>46068</v>
      </c>
    </row>
    <row r="59" spans="1:11" ht="15" customHeight="1" x14ac:dyDescent="0.25">
      <c r="A59" s="51" t="s">
        <v>78</v>
      </c>
      <c r="B59" s="53" t="s">
        <v>79</v>
      </c>
      <c r="C59" s="63">
        <v>59</v>
      </c>
      <c r="D59" s="64">
        <v>46038</v>
      </c>
      <c r="E59" s="64">
        <v>46068</v>
      </c>
    </row>
    <row r="60" spans="1:11" ht="15" hidden="1" customHeight="1" x14ac:dyDescent="0.25">
      <c r="A60" s="51" t="s">
        <v>766</v>
      </c>
      <c r="B60" s="53" t="s">
        <v>767</v>
      </c>
      <c r="C60" s="65"/>
      <c r="D60" s="64">
        <v>46038</v>
      </c>
      <c r="E60" s="64">
        <v>46068</v>
      </c>
    </row>
    <row r="61" spans="1:11" ht="15" hidden="1" customHeight="1" x14ac:dyDescent="0.25">
      <c r="A61" s="51" t="s">
        <v>8</v>
      </c>
      <c r="B61" s="49" t="s">
        <v>40</v>
      </c>
      <c r="C61" s="63"/>
      <c r="D61" s="64">
        <v>46038</v>
      </c>
      <c r="E61" s="64">
        <v>46068</v>
      </c>
    </row>
    <row r="62" spans="1:11" ht="15" hidden="1" customHeight="1" x14ac:dyDescent="0.25">
      <c r="A62" s="51" t="s">
        <v>313</v>
      </c>
      <c r="B62" s="49" t="s">
        <v>283</v>
      </c>
      <c r="C62" s="65"/>
      <c r="D62" s="64">
        <v>46038</v>
      </c>
      <c r="E62" s="64">
        <v>46068</v>
      </c>
    </row>
    <row r="63" spans="1:11" ht="15" hidden="1" customHeight="1" x14ac:dyDescent="0.25">
      <c r="A63" s="51" t="s">
        <v>9</v>
      </c>
      <c r="B63" s="49" t="s">
        <v>39</v>
      </c>
      <c r="C63" s="63"/>
      <c r="D63" s="64">
        <v>46038</v>
      </c>
      <c r="E63" s="64">
        <v>46068</v>
      </c>
    </row>
    <row r="64" spans="1:11" ht="15" hidden="1" customHeight="1" x14ac:dyDescent="0.25">
      <c r="A64" s="51" t="s">
        <v>195</v>
      </c>
      <c r="B64" s="49" t="s">
        <v>196</v>
      </c>
      <c r="C64" s="65"/>
      <c r="D64" s="64">
        <v>46038</v>
      </c>
      <c r="E64" s="64">
        <v>46068</v>
      </c>
    </row>
    <row r="65" spans="1:5" ht="15" hidden="1" customHeight="1" x14ac:dyDescent="0.25">
      <c r="A65" s="51" t="s">
        <v>197</v>
      </c>
      <c r="B65" s="49" t="s">
        <v>198</v>
      </c>
      <c r="C65" s="66"/>
      <c r="D65" s="64">
        <v>46038</v>
      </c>
      <c r="E65" s="64">
        <v>46068</v>
      </c>
    </row>
    <row r="66" spans="1:5" ht="15" customHeight="1" x14ac:dyDescent="0.25">
      <c r="A66" s="51" t="s">
        <v>18</v>
      </c>
      <c r="B66" s="49" t="s">
        <v>34</v>
      </c>
      <c r="C66" s="63">
        <v>10</v>
      </c>
      <c r="D66" s="64">
        <v>46038</v>
      </c>
      <c r="E66" s="64">
        <v>46068</v>
      </c>
    </row>
    <row r="67" spans="1:5" ht="15" customHeight="1" x14ac:dyDescent="0.25">
      <c r="A67" s="51" t="s">
        <v>123</v>
      </c>
      <c r="B67" s="49" t="s">
        <v>124</v>
      </c>
      <c r="C67" s="63">
        <v>4</v>
      </c>
      <c r="D67" s="64">
        <v>46038</v>
      </c>
      <c r="E67" s="64">
        <v>46068</v>
      </c>
    </row>
    <row r="68" spans="1:5" ht="15" customHeight="1" x14ac:dyDescent="0.25">
      <c r="A68" s="51" t="s">
        <v>45</v>
      </c>
      <c r="B68" s="49" t="s">
        <v>46</v>
      </c>
      <c r="C68" s="63">
        <v>4</v>
      </c>
      <c r="D68" s="64">
        <v>46038</v>
      </c>
      <c r="E68" s="64">
        <v>46068</v>
      </c>
    </row>
    <row r="69" spans="1:5" ht="15" customHeight="1" x14ac:dyDescent="0.25">
      <c r="A69" s="51" t="s">
        <v>129</v>
      </c>
      <c r="B69" s="49" t="s">
        <v>130</v>
      </c>
      <c r="C69" s="63">
        <v>8</v>
      </c>
      <c r="D69" s="64">
        <v>46038</v>
      </c>
      <c r="E69" s="64">
        <v>46068</v>
      </c>
    </row>
    <row r="70" spans="1:5" ht="15" hidden="1" customHeight="1" x14ac:dyDescent="0.25">
      <c r="A70" s="55" t="s">
        <v>42</v>
      </c>
      <c r="B70" s="53" t="s">
        <v>120</v>
      </c>
      <c r="C70" s="63"/>
      <c r="D70" s="64">
        <v>46038</v>
      </c>
      <c r="E70" s="64">
        <v>46068</v>
      </c>
    </row>
    <row r="71" spans="1:5" ht="15" hidden="1" customHeight="1" x14ac:dyDescent="0.25">
      <c r="A71" s="51" t="s">
        <v>146</v>
      </c>
      <c r="B71" s="49" t="s">
        <v>147</v>
      </c>
      <c r="C71" s="66"/>
      <c r="D71" s="64">
        <v>46038</v>
      </c>
      <c r="E71" s="64">
        <v>46068</v>
      </c>
    </row>
    <row r="72" spans="1:5" ht="15" hidden="1" customHeight="1" x14ac:dyDescent="0.25">
      <c r="A72" s="51" t="s">
        <v>370</v>
      </c>
      <c r="B72" s="49" t="s">
        <v>371</v>
      </c>
      <c r="C72" s="65"/>
      <c r="D72" s="64">
        <v>46038</v>
      </c>
      <c r="E72" s="64">
        <v>46068</v>
      </c>
    </row>
    <row r="73" spans="1:5" ht="15" hidden="1" customHeight="1" x14ac:dyDescent="0.25">
      <c r="A73" s="51" t="s">
        <v>351</v>
      </c>
      <c r="B73" s="49" t="s">
        <v>352</v>
      </c>
      <c r="C73" s="66"/>
      <c r="D73" s="64">
        <v>46038</v>
      </c>
      <c r="E73" s="64">
        <v>46068</v>
      </c>
    </row>
    <row r="74" spans="1:5" ht="15" hidden="1" customHeight="1" x14ac:dyDescent="0.25">
      <c r="A74" s="51" t="s">
        <v>125</v>
      </c>
      <c r="B74" s="49" t="s">
        <v>126</v>
      </c>
      <c r="C74" s="65"/>
      <c r="D74" s="64">
        <v>46038</v>
      </c>
      <c r="E74" s="64">
        <v>46068</v>
      </c>
    </row>
    <row r="75" spans="1:5" ht="15" hidden="1" customHeight="1" x14ac:dyDescent="0.25">
      <c r="A75" s="70" t="s">
        <v>308</v>
      </c>
      <c r="B75" s="62" t="s">
        <v>309</v>
      </c>
      <c r="C75" s="66"/>
      <c r="D75" s="64">
        <v>46038</v>
      </c>
      <c r="E75" s="64">
        <v>46068</v>
      </c>
    </row>
    <row r="76" spans="1:5" ht="15" hidden="1" customHeight="1" x14ac:dyDescent="0.25">
      <c r="A76" s="70" t="s">
        <v>768</v>
      </c>
      <c r="B76" s="62" t="s">
        <v>736</v>
      </c>
      <c r="C76" s="66"/>
      <c r="D76" s="64">
        <v>46038</v>
      </c>
      <c r="E76" s="64">
        <v>46068</v>
      </c>
    </row>
    <row r="77" spans="1:5" ht="15" hidden="1" customHeight="1" x14ac:dyDescent="0.25">
      <c r="A77" s="51" t="s">
        <v>727</v>
      </c>
      <c r="B77" s="49" t="s">
        <v>769</v>
      </c>
      <c r="C77" s="67"/>
      <c r="D77" s="64">
        <v>46038</v>
      </c>
      <c r="E77" s="64">
        <v>46068</v>
      </c>
    </row>
    <row r="78" spans="1:5" ht="15" hidden="1" customHeight="1" x14ac:dyDescent="0.25">
      <c r="A78" s="55" t="s">
        <v>261</v>
      </c>
      <c r="B78" s="53" t="s">
        <v>262</v>
      </c>
      <c r="C78" s="65"/>
      <c r="D78" s="64">
        <v>46038</v>
      </c>
      <c r="E78" s="64">
        <v>46068</v>
      </c>
    </row>
    <row r="79" spans="1:5" ht="15" customHeight="1" x14ac:dyDescent="0.25">
      <c r="A79" s="51" t="s">
        <v>58</v>
      </c>
      <c r="B79" s="53" t="s">
        <v>82</v>
      </c>
      <c r="C79" s="63">
        <v>41</v>
      </c>
      <c r="D79" s="64">
        <v>46038</v>
      </c>
      <c r="E79" s="64">
        <v>46068</v>
      </c>
    </row>
    <row r="80" spans="1:5" ht="15" hidden="1" customHeight="1" x14ac:dyDescent="0.25">
      <c r="A80" s="55" t="s">
        <v>377</v>
      </c>
      <c r="B80" s="53" t="s">
        <v>376</v>
      </c>
      <c r="C80" s="65"/>
      <c r="D80" s="64">
        <v>46038</v>
      </c>
      <c r="E80" s="64">
        <v>46068</v>
      </c>
    </row>
    <row r="81" spans="1:5" ht="15" hidden="1" customHeight="1" x14ac:dyDescent="0.25">
      <c r="A81" s="51" t="s">
        <v>770</v>
      </c>
      <c r="B81" s="49" t="s">
        <v>771</v>
      </c>
      <c r="C81" s="66"/>
      <c r="D81" s="64">
        <v>46038</v>
      </c>
      <c r="E81" s="64">
        <v>46068</v>
      </c>
    </row>
    <row r="82" spans="1:5" ht="15" hidden="1" customHeight="1" x14ac:dyDescent="0.25">
      <c r="A82" s="55" t="s">
        <v>389</v>
      </c>
      <c r="B82" s="53" t="s">
        <v>398</v>
      </c>
      <c r="C82" s="65"/>
      <c r="D82" s="64">
        <v>46038</v>
      </c>
      <c r="E82" s="64">
        <v>46068</v>
      </c>
    </row>
    <row r="83" spans="1:5" ht="15" hidden="1" customHeight="1" x14ac:dyDescent="0.25">
      <c r="A83" s="51" t="s">
        <v>354</v>
      </c>
      <c r="B83" s="53" t="s">
        <v>355</v>
      </c>
      <c r="C83" s="65"/>
      <c r="D83" s="64">
        <v>46038</v>
      </c>
      <c r="E83" s="64">
        <v>46068</v>
      </c>
    </row>
    <row r="84" spans="1:5" ht="15" hidden="1" customHeight="1" x14ac:dyDescent="0.25">
      <c r="A84" s="55" t="s">
        <v>193</v>
      </c>
      <c r="B84" s="53" t="s">
        <v>194</v>
      </c>
      <c r="C84" s="65"/>
      <c r="D84" s="64">
        <v>46038</v>
      </c>
      <c r="E84" s="64">
        <v>46068</v>
      </c>
    </row>
    <row r="85" spans="1:5" ht="15" hidden="1" customHeight="1" x14ac:dyDescent="0.25">
      <c r="A85" s="51" t="s">
        <v>362</v>
      </c>
      <c r="B85" s="49" t="s">
        <v>363</v>
      </c>
      <c r="C85" s="65"/>
      <c r="D85" s="64">
        <v>46038</v>
      </c>
      <c r="E85" s="64">
        <v>46068</v>
      </c>
    </row>
    <row r="86" spans="1:5" ht="15" hidden="1" customHeight="1" x14ac:dyDescent="0.25">
      <c r="A86" s="70" t="s">
        <v>412</v>
      </c>
      <c r="B86" s="62" t="s">
        <v>413</v>
      </c>
      <c r="C86" s="66"/>
      <c r="D86" s="64">
        <v>46038</v>
      </c>
      <c r="E86" s="64">
        <v>46068</v>
      </c>
    </row>
    <row r="87" spans="1:5" ht="15" hidden="1" customHeight="1" x14ac:dyDescent="0.25">
      <c r="A87" s="51" t="s">
        <v>10</v>
      </c>
      <c r="B87" s="49" t="s">
        <v>74</v>
      </c>
      <c r="C87" s="66"/>
      <c r="D87" s="64">
        <v>46038</v>
      </c>
      <c r="E87" s="64">
        <v>46068</v>
      </c>
    </row>
    <row r="88" spans="1:5" ht="15" hidden="1" customHeight="1" x14ac:dyDescent="0.25">
      <c r="A88" s="51" t="s">
        <v>245</v>
      </c>
      <c r="B88" s="49" t="s">
        <v>246</v>
      </c>
      <c r="C88" s="66"/>
      <c r="D88" s="64">
        <v>46038</v>
      </c>
      <c r="E88" s="64">
        <v>46068</v>
      </c>
    </row>
    <row r="89" spans="1:5" ht="15" customHeight="1" x14ac:dyDescent="0.25">
      <c r="A89" s="51" t="s">
        <v>105</v>
      </c>
      <c r="B89" s="53" t="s">
        <v>106</v>
      </c>
      <c r="C89" s="63">
        <v>90</v>
      </c>
      <c r="D89" s="64">
        <v>46038</v>
      </c>
      <c r="E89" s="64">
        <v>46068</v>
      </c>
    </row>
    <row r="90" spans="1:5" ht="15" hidden="1" customHeight="1" x14ac:dyDescent="0.25">
      <c r="A90" s="51" t="s">
        <v>291</v>
      </c>
      <c r="B90" s="49" t="s">
        <v>292</v>
      </c>
      <c r="C90" s="65"/>
      <c r="D90" s="64">
        <v>46038</v>
      </c>
      <c r="E90" s="64">
        <v>46068</v>
      </c>
    </row>
    <row r="91" spans="1:5" ht="15" customHeight="1" x14ac:dyDescent="0.25">
      <c r="A91" s="58" t="s">
        <v>167</v>
      </c>
      <c r="B91" s="59" t="s">
        <v>168</v>
      </c>
      <c r="C91" s="63">
        <v>4</v>
      </c>
      <c r="D91" s="64">
        <v>46038</v>
      </c>
      <c r="E91" s="64">
        <v>46068</v>
      </c>
    </row>
    <row r="92" spans="1:5" ht="15" hidden="1" customHeight="1" x14ac:dyDescent="0.25">
      <c r="A92" s="70" t="s">
        <v>232</v>
      </c>
      <c r="B92" s="62" t="s">
        <v>244</v>
      </c>
      <c r="C92" s="66"/>
      <c r="D92" s="64">
        <v>46038</v>
      </c>
      <c r="E92" s="64">
        <v>46068</v>
      </c>
    </row>
    <row r="93" spans="1:5" ht="15" hidden="1" customHeight="1" x14ac:dyDescent="0.25">
      <c r="A93" s="51" t="s">
        <v>155</v>
      </c>
      <c r="B93" s="49" t="s">
        <v>154</v>
      </c>
      <c r="C93" s="66"/>
      <c r="D93" s="64">
        <v>46038</v>
      </c>
      <c r="E93" s="64">
        <v>46068</v>
      </c>
    </row>
    <row r="94" spans="1:5" ht="15" hidden="1" customHeight="1" x14ac:dyDescent="0.25">
      <c r="A94" s="55" t="s">
        <v>131</v>
      </c>
      <c r="B94" s="53" t="s">
        <v>132</v>
      </c>
      <c r="C94" s="65"/>
      <c r="D94" s="64">
        <v>46038</v>
      </c>
      <c r="E94" s="64">
        <v>46068</v>
      </c>
    </row>
    <row r="95" spans="1:5" ht="15" hidden="1" customHeight="1" x14ac:dyDescent="0.25">
      <c r="A95" s="51" t="s">
        <v>287</v>
      </c>
      <c r="B95" s="49" t="s">
        <v>411</v>
      </c>
      <c r="C95" s="66"/>
      <c r="D95" s="64">
        <v>46038</v>
      </c>
      <c r="E95" s="64">
        <v>46068</v>
      </c>
    </row>
    <row r="96" spans="1:5" ht="15" hidden="1" customHeight="1" x14ac:dyDescent="0.25">
      <c r="A96" s="55" t="s">
        <v>237</v>
      </c>
      <c r="B96" s="53" t="s">
        <v>236</v>
      </c>
      <c r="C96" s="65"/>
      <c r="D96" s="64">
        <v>46038</v>
      </c>
      <c r="E96" s="64">
        <v>46068</v>
      </c>
    </row>
    <row r="97" spans="1:5" ht="15" hidden="1" customHeight="1" x14ac:dyDescent="0.25">
      <c r="A97" s="51" t="s">
        <v>11</v>
      </c>
      <c r="B97" s="49" t="s">
        <v>44</v>
      </c>
      <c r="C97" s="65"/>
      <c r="D97" s="64">
        <v>46038</v>
      </c>
      <c r="E97" s="64">
        <v>46068</v>
      </c>
    </row>
    <row r="98" spans="1:5" ht="15" hidden="1" customHeight="1" x14ac:dyDescent="0.25">
      <c r="A98" s="51" t="s">
        <v>256</v>
      </c>
      <c r="B98" s="49" t="s">
        <v>286</v>
      </c>
      <c r="C98" s="67"/>
      <c r="D98" s="64">
        <v>46038</v>
      </c>
      <c r="E98" s="64">
        <v>46068</v>
      </c>
    </row>
    <row r="99" spans="1:5" ht="15" customHeight="1" x14ac:dyDescent="0.25">
      <c r="A99" s="51" t="s">
        <v>955</v>
      </c>
      <c r="B99" s="49" t="s">
        <v>469</v>
      </c>
      <c r="C99" s="67">
        <v>16</v>
      </c>
      <c r="D99" s="64">
        <v>46038</v>
      </c>
      <c r="E99" s="64">
        <v>46068</v>
      </c>
    </row>
    <row r="100" spans="1:5" ht="15" hidden="1" customHeight="1" x14ac:dyDescent="0.25">
      <c r="A100" s="51" t="s">
        <v>462</v>
      </c>
      <c r="B100" s="49" t="s">
        <v>463</v>
      </c>
      <c r="C100" s="67"/>
      <c r="D100" s="64">
        <v>46038</v>
      </c>
      <c r="E100" s="64">
        <v>46068</v>
      </c>
    </row>
    <row r="101" spans="1:5" ht="15" hidden="1" customHeight="1" x14ac:dyDescent="0.25">
      <c r="A101" s="51" t="s">
        <v>152</v>
      </c>
      <c r="B101" s="49" t="s">
        <v>151</v>
      </c>
      <c r="C101" s="66"/>
      <c r="D101" s="64">
        <v>46038</v>
      </c>
      <c r="E101" s="64">
        <v>46068</v>
      </c>
    </row>
    <row r="102" spans="1:5" ht="15" hidden="1" customHeight="1" x14ac:dyDescent="0.25">
      <c r="A102" s="55" t="s">
        <v>282</v>
      </c>
      <c r="B102" s="53" t="s">
        <v>107</v>
      </c>
      <c r="C102" s="65"/>
      <c r="D102" s="64">
        <v>46038</v>
      </c>
      <c r="E102" s="64">
        <v>46068</v>
      </c>
    </row>
    <row r="103" spans="1:5" ht="15" hidden="1" customHeight="1" x14ac:dyDescent="0.25">
      <c r="A103" s="51" t="s">
        <v>80</v>
      </c>
      <c r="B103" s="49" t="s">
        <v>81</v>
      </c>
      <c r="C103" s="65"/>
      <c r="D103" s="64">
        <v>46038</v>
      </c>
      <c r="E103" s="64">
        <v>46068</v>
      </c>
    </row>
    <row r="104" spans="1:5" ht="15" customHeight="1" x14ac:dyDescent="0.25">
      <c r="A104" s="51" t="s">
        <v>73</v>
      </c>
      <c r="B104" s="49" t="s">
        <v>405</v>
      </c>
      <c r="C104" s="63">
        <v>7</v>
      </c>
      <c r="D104" s="64">
        <v>46038</v>
      </c>
      <c r="E104" s="64">
        <v>46068</v>
      </c>
    </row>
    <row r="105" spans="1:5" ht="15" hidden="1" customHeight="1" x14ac:dyDescent="0.25">
      <c r="A105" s="55" t="s">
        <v>76</v>
      </c>
      <c r="B105" s="53" t="s">
        <v>353</v>
      </c>
      <c r="C105" s="63"/>
      <c r="D105" s="64">
        <v>46038</v>
      </c>
      <c r="E105" s="64">
        <v>46068</v>
      </c>
    </row>
    <row r="106" spans="1:5" ht="15" customHeight="1" x14ac:dyDescent="0.25">
      <c r="A106" s="51" t="s">
        <v>431</v>
      </c>
      <c r="B106" s="49" t="s">
        <v>432</v>
      </c>
      <c r="C106" s="63">
        <v>2</v>
      </c>
      <c r="D106" s="64">
        <v>46038</v>
      </c>
      <c r="E106" s="64">
        <v>46068</v>
      </c>
    </row>
    <row r="107" spans="1:5" ht="15" hidden="1" customHeight="1" x14ac:dyDescent="0.25">
      <c r="A107" s="51" t="s">
        <v>259</v>
      </c>
      <c r="B107" s="49" t="s">
        <v>260</v>
      </c>
      <c r="C107" s="66"/>
      <c r="D107" s="64">
        <v>46038</v>
      </c>
      <c r="E107" s="64">
        <v>46068</v>
      </c>
    </row>
    <row r="108" spans="1:5" ht="15" hidden="1" customHeight="1" x14ac:dyDescent="0.25">
      <c r="A108" s="51" t="s">
        <v>475</v>
      </c>
      <c r="B108" s="49" t="s">
        <v>476</v>
      </c>
      <c r="C108" s="66"/>
      <c r="D108" s="64">
        <v>46038</v>
      </c>
      <c r="E108" s="64">
        <v>46068</v>
      </c>
    </row>
    <row r="109" spans="1:5" ht="15" hidden="1" customHeight="1" x14ac:dyDescent="0.25">
      <c r="A109" s="69" t="s">
        <v>169</v>
      </c>
      <c r="B109" s="62" t="s">
        <v>192</v>
      </c>
      <c r="C109" s="65"/>
      <c r="D109" s="64">
        <v>46038</v>
      </c>
      <c r="E109" s="64">
        <v>46068</v>
      </c>
    </row>
    <row r="110" spans="1:5" ht="15" hidden="1" customHeight="1" x14ac:dyDescent="0.25">
      <c r="A110" s="51" t="s">
        <v>31</v>
      </c>
      <c r="B110" s="49" t="s">
        <v>36</v>
      </c>
      <c r="C110" s="63"/>
      <c r="D110" s="64">
        <v>46038</v>
      </c>
      <c r="E110" s="64">
        <v>46068</v>
      </c>
    </row>
    <row r="111" spans="1:5" ht="15" customHeight="1" x14ac:dyDescent="0.25">
      <c r="A111" s="51" t="s">
        <v>68</v>
      </c>
      <c r="B111" s="49" t="s">
        <v>67</v>
      </c>
      <c r="C111" s="63">
        <v>10</v>
      </c>
      <c r="D111" s="64">
        <v>46038</v>
      </c>
      <c r="E111" s="64">
        <v>46068</v>
      </c>
    </row>
    <row r="112" spans="1:5" ht="15" customHeight="1" x14ac:dyDescent="0.25">
      <c r="A112" s="51" t="s">
        <v>215</v>
      </c>
      <c r="B112" s="49" t="s">
        <v>216</v>
      </c>
      <c r="C112" s="63">
        <v>20</v>
      </c>
      <c r="D112" s="64">
        <v>46038</v>
      </c>
      <c r="E112" s="64">
        <v>46068</v>
      </c>
    </row>
    <row r="113" spans="1:5" ht="15" hidden="1" customHeight="1" x14ac:dyDescent="0.25">
      <c r="A113" s="51" t="s">
        <v>133</v>
      </c>
      <c r="B113" s="49" t="s">
        <v>134</v>
      </c>
      <c r="C113" s="65"/>
      <c r="D113" s="64">
        <v>46038</v>
      </c>
      <c r="E113" s="64">
        <v>46068</v>
      </c>
    </row>
    <row r="114" spans="1:5" ht="15" hidden="1" customHeight="1" x14ac:dyDescent="0.25">
      <c r="A114" s="51" t="s">
        <v>242</v>
      </c>
      <c r="B114" s="49" t="s">
        <v>243</v>
      </c>
      <c r="C114" s="65"/>
      <c r="D114" s="64">
        <v>46038</v>
      </c>
      <c r="E114" s="64">
        <v>46068</v>
      </c>
    </row>
    <row r="115" spans="1:5" ht="15" hidden="1" customHeight="1" x14ac:dyDescent="0.25">
      <c r="A115" s="70" t="s">
        <v>144</v>
      </c>
      <c r="B115" s="62" t="s">
        <v>145</v>
      </c>
      <c r="C115" s="66"/>
      <c r="D115" s="64">
        <v>46038</v>
      </c>
      <c r="E115" s="64">
        <v>46068</v>
      </c>
    </row>
    <row r="116" spans="1:5" ht="15" customHeight="1" x14ac:dyDescent="0.25">
      <c r="A116" s="51" t="s">
        <v>12</v>
      </c>
      <c r="B116" s="53" t="s">
        <v>13</v>
      </c>
      <c r="C116" s="63">
        <v>35</v>
      </c>
      <c r="D116" s="64">
        <v>46038</v>
      </c>
      <c r="E116" s="64">
        <v>46068</v>
      </c>
    </row>
    <row r="117" spans="1:5" ht="15" hidden="1" customHeight="1" x14ac:dyDescent="0.25">
      <c r="A117" s="55" t="s">
        <v>278</v>
      </c>
      <c r="B117" s="53" t="s">
        <v>279</v>
      </c>
      <c r="C117" s="65"/>
      <c r="D117" s="64">
        <v>46038</v>
      </c>
      <c r="E117" s="64">
        <v>46068</v>
      </c>
    </row>
    <row r="118" spans="1:5" ht="15" hidden="1" customHeight="1" x14ac:dyDescent="0.25">
      <c r="A118" s="55" t="s">
        <v>772</v>
      </c>
      <c r="B118" s="53" t="s">
        <v>773</v>
      </c>
      <c r="C118" s="65"/>
      <c r="D118" s="64">
        <v>46038</v>
      </c>
      <c r="E118" s="64">
        <v>46068</v>
      </c>
    </row>
    <row r="119" spans="1:5" ht="15" hidden="1" customHeight="1" x14ac:dyDescent="0.25">
      <c r="A119" s="55" t="s">
        <v>108</v>
      </c>
      <c r="B119" s="53" t="s">
        <v>109</v>
      </c>
      <c r="C119" s="65"/>
      <c r="D119" s="64">
        <v>46038</v>
      </c>
      <c r="E119" s="64">
        <v>46068</v>
      </c>
    </row>
    <row r="120" spans="1:5" ht="15" hidden="1" customHeight="1" x14ac:dyDescent="0.25">
      <c r="A120" s="55" t="s">
        <v>252</v>
      </c>
      <c r="B120" s="53" t="s">
        <v>442</v>
      </c>
      <c r="C120" s="65"/>
      <c r="D120" s="64">
        <v>46038</v>
      </c>
      <c r="E120" s="64">
        <v>46068</v>
      </c>
    </row>
    <row r="121" spans="1:5" ht="15" hidden="1" customHeight="1" x14ac:dyDescent="0.25">
      <c r="A121" s="55" t="s">
        <v>43</v>
      </c>
      <c r="B121" s="53" t="s">
        <v>32</v>
      </c>
      <c r="C121" s="65"/>
      <c r="D121" s="64">
        <v>46038</v>
      </c>
      <c r="E121" s="64">
        <v>46068</v>
      </c>
    </row>
    <row r="122" spans="1:5" ht="15" customHeight="1" x14ac:dyDescent="0.25">
      <c r="A122" s="55" t="s">
        <v>83</v>
      </c>
      <c r="B122" s="53" t="s">
        <v>84</v>
      </c>
      <c r="C122" s="63">
        <v>4</v>
      </c>
      <c r="D122" s="64">
        <v>46038</v>
      </c>
      <c r="E122" s="64">
        <v>46068</v>
      </c>
    </row>
    <row r="123" spans="1:5" ht="15" hidden="1" customHeight="1" x14ac:dyDescent="0.25">
      <c r="A123" s="55" t="s">
        <v>162</v>
      </c>
      <c r="B123" s="53" t="s">
        <v>161</v>
      </c>
      <c r="C123" s="65"/>
      <c r="D123" s="64">
        <v>46038</v>
      </c>
      <c r="E123" s="64">
        <v>46068</v>
      </c>
    </row>
    <row r="124" spans="1:5" ht="15" hidden="1" customHeight="1" x14ac:dyDescent="0.25">
      <c r="A124" s="55" t="s">
        <v>143</v>
      </c>
      <c r="B124" s="53" t="s">
        <v>148</v>
      </c>
      <c r="C124" s="65"/>
      <c r="D124" s="64">
        <v>46038</v>
      </c>
      <c r="E124" s="64">
        <v>46068</v>
      </c>
    </row>
    <row r="125" spans="1:5" ht="15" hidden="1" customHeight="1" x14ac:dyDescent="0.25">
      <c r="A125" s="51" t="s">
        <v>64</v>
      </c>
      <c r="B125" s="49" t="s">
        <v>63</v>
      </c>
      <c r="C125" s="65"/>
      <c r="D125" s="64">
        <v>46038</v>
      </c>
      <c r="E125" s="64">
        <v>46068</v>
      </c>
    </row>
    <row r="126" spans="1:5" ht="15" hidden="1" customHeight="1" x14ac:dyDescent="0.25">
      <c r="A126" s="51" t="s">
        <v>30</v>
      </c>
      <c r="B126" s="49" t="s">
        <v>38</v>
      </c>
      <c r="C126" s="65"/>
      <c r="D126" s="64">
        <v>46038</v>
      </c>
      <c r="E126" s="64">
        <v>46068</v>
      </c>
    </row>
    <row r="127" spans="1:5" ht="15" hidden="1" customHeight="1" x14ac:dyDescent="0.25">
      <c r="A127" s="51" t="s">
        <v>178</v>
      </c>
      <c r="B127" s="49" t="s">
        <v>179</v>
      </c>
      <c r="C127" s="66"/>
      <c r="D127" s="64">
        <v>46038</v>
      </c>
      <c r="E127" s="64">
        <v>46068</v>
      </c>
    </row>
    <row r="128" spans="1:5" ht="15" hidden="1" customHeight="1" x14ac:dyDescent="0.25">
      <c r="A128" s="51" t="s">
        <v>394</v>
      </c>
      <c r="B128" s="49" t="s">
        <v>393</v>
      </c>
      <c r="C128" s="63"/>
      <c r="D128" s="64">
        <v>46038</v>
      </c>
      <c r="E128" s="64">
        <v>46068</v>
      </c>
    </row>
    <row r="129" spans="1:5" ht="15" hidden="1" customHeight="1" x14ac:dyDescent="0.25">
      <c r="A129" s="51" t="s">
        <v>464</v>
      </c>
      <c r="B129" s="49" t="s">
        <v>465</v>
      </c>
      <c r="C129" s="65"/>
      <c r="D129" s="64">
        <v>46038</v>
      </c>
      <c r="E129" s="64">
        <v>46068</v>
      </c>
    </row>
    <row r="130" spans="1:5" ht="15" hidden="1" customHeight="1" x14ac:dyDescent="0.25">
      <c r="A130" s="51" t="s">
        <v>235</v>
      </c>
      <c r="B130" s="49" t="s">
        <v>234</v>
      </c>
      <c r="C130" s="65"/>
      <c r="D130" s="64">
        <v>46038</v>
      </c>
      <c r="E130" s="64">
        <v>46068</v>
      </c>
    </row>
    <row r="131" spans="1:5" ht="15" hidden="1" customHeight="1" x14ac:dyDescent="0.25">
      <c r="A131" s="51" t="s">
        <v>247</v>
      </c>
      <c r="B131" s="49" t="s">
        <v>248</v>
      </c>
      <c r="C131" s="65"/>
      <c r="D131" s="64">
        <v>46038</v>
      </c>
      <c r="E131" s="64">
        <v>46068</v>
      </c>
    </row>
    <row r="132" spans="1:5" ht="15" hidden="1" customHeight="1" x14ac:dyDescent="0.25">
      <c r="A132" s="51" t="s">
        <v>439</v>
      </c>
      <c r="B132" s="49" t="s">
        <v>440</v>
      </c>
      <c r="C132" s="63"/>
      <c r="D132" s="64">
        <v>46038</v>
      </c>
      <c r="E132" s="64">
        <v>46068</v>
      </c>
    </row>
    <row r="133" spans="1:5" ht="15" hidden="1" customHeight="1" x14ac:dyDescent="0.25">
      <c r="A133" s="51" t="s">
        <v>387</v>
      </c>
      <c r="B133" s="49" t="s">
        <v>396</v>
      </c>
      <c r="C133" s="66"/>
      <c r="D133" s="64">
        <v>46038</v>
      </c>
      <c r="E133" s="64">
        <v>46068</v>
      </c>
    </row>
    <row r="134" spans="1:5" ht="15" customHeight="1" x14ac:dyDescent="0.25">
      <c r="A134" s="55" t="s">
        <v>14</v>
      </c>
      <c r="B134" s="53" t="s">
        <v>15</v>
      </c>
      <c r="C134" s="63">
        <v>27</v>
      </c>
      <c r="D134" s="64">
        <v>46038</v>
      </c>
      <c r="E134" s="64">
        <v>46068</v>
      </c>
    </row>
    <row r="135" spans="1:5" ht="15" hidden="1" customHeight="1" x14ac:dyDescent="0.25">
      <c r="A135" s="51" t="s">
        <v>263</v>
      </c>
      <c r="B135" s="49" t="s">
        <v>229</v>
      </c>
      <c r="C135" s="65"/>
      <c r="D135" s="64">
        <v>46038</v>
      </c>
      <c r="E135" s="64">
        <v>46068</v>
      </c>
    </row>
    <row r="136" spans="1:5" ht="15" hidden="1" customHeight="1" x14ac:dyDescent="0.25">
      <c r="A136" s="51" t="s">
        <v>249</v>
      </c>
      <c r="B136" s="49" t="s">
        <v>250</v>
      </c>
      <c r="C136" s="66"/>
      <c r="D136" s="64">
        <v>46038</v>
      </c>
      <c r="E136" s="64">
        <v>46068</v>
      </c>
    </row>
    <row r="137" spans="1:5" ht="15" hidden="1" customHeight="1" x14ac:dyDescent="0.25">
      <c r="A137" s="51" t="s">
        <v>257</v>
      </c>
      <c r="B137" s="49" t="s">
        <v>258</v>
      </c>
      <c r="C137" s="63"/>
      <c r="D137" s="64">
        <v>46038</v>
      </c>
      <c r="E137" s="64">
        <v>46068</v>
      </c>
    </row>
    <row r="138" spans="1:5" ht="15" hidden="1" customHeight="1" x14ac:dyDescent="0.25">
      <c r="A138" s="51" t="s">
        <v>270</v>
      </c>
      <c r="B138" s="49" t="s">
        <v>273</v>
      </c>
      <c r="C138" s="66"/>
      <c r="D138" s="64">
        <v>46038</v>
      </c>
      <c r="E138" s="64">
        <v>46068</v>
      </c>
    </row>
    <row r="139" spans="1:5" ht="15" hidden="1" customHeight="1" x14ac:dyDescent="0.25">
      <c r="A139" s="51" t="s">
        <v>207</v>
      </c>
      <c r="B139" s="49" t="s">
        <v>208</v>
      </c>
      <c r="C139" s="65"/>
      <c r="D139" s="64">
        <v>46038</v>
      </c>
      <c r="E139" s="64">
        <v>46068</v>
      </c>
    </row>
    <row r="140" spans="1:5" ht="15" customHeight="1" x14ac:dyDescent="0.25">
      <c r="A140" s="55" t="s">
        <v>52</v>
      </c>
      <c r="B140" s="53" t="s">
        <v>53</v>
      </c>
      <c r="C140" s="63">
        <v>26.3</v>
      </c>
      <c r="D140" s="64">
        <v>46038</v>
      </c>
      <c r="E140" s="64">
        <v>46068</v>
      </c>
    </row>
    <row r="141" spans="1:5" ht="15" hidden="1" customHeight="1" x14ac:dyDescent="0.25">
      <c r="A141" s="51" t="s">
        <v>410</v>
      </c>
      <c r="B141" s="49" t="s">
        <v>364</v>
      </c>
      <c r="C141" s="66"/>
      <c r="D141" s="64">
        <v>46038</v>
      </c>
      <c r="E141" s="64">
        <v>46068</v>
      </c>
    </row>
    <row r="142" spans="1:5" ht="15" customHeight="1" x14ac:dyDescent="0.25">
      <c r="A142" s="51" t="s">
        <v>295</v>
      </c>
      <c r="B142" s="49" t="s">
        <v>296</v>
      </c>
      <c r="C142" s="67">
        <v>7</v>
      </c>
      <c r="D142" s="64">
        <v>46038</v>
      </c>
      <c r="E142" s="64">
        <v>46068</v>
      </c>
    </row>
    <row r="143" spans="1:5" ht="15" hidden="1" customHeight="1" x14ac:dyDescent="0.25">
      <c r="A143" s="69" t="s">
        <v>90</v>
      </c>
      <c r="B143" s="62" t="s">
        <v>420</v>
      </c>
      <c r="C143" s="66"/>
      <c r="D143" s="64">
        <v>46038</v>
      </c>
      <c r="E143" s="64">
        <v>46068</v>
      </c>
    </row>
    <row r="144" spans="1:5" ht="15" hidden="1" customHeight="1" x14ac:dyDescent="0.25">
      <c r="A144" s="51" t="s">
        <v>220</v>
      </c>
      <c r="B144" s="49" t="s">
        <v>221</v>
      </c>
      <c r="C144" s="66"/>
      <c r="D144" s="64">
        <v>46038</v>
      </c>
      <c r="E144" s="64">
        <v>46068</v>
      </c>
    </row>
    <row r="145" spans="1:5" ht="15" customHeight="1" x14ac:dyDescent="0.25">
      <c r="A145" s="51" t="s">
        <v>728</v>
      </c>
      <c r="B145" s="49" t="s">
        <v>729</v>
      </c>
      <c r="C145" s="67">
        <v>25</v>
      </c>
      <c r="D145" s="64">
        <v>46038</v>
      </c>
      <c r="E145" s="64">
        <v>46068</v>
      </c>
    </row>
    <row r="146" spans="1:5" ht="15" hidden="1" customHeight="1" x14ac:dyDescent="0.25">
      <c r="A146" s="51" t="s">
        <v>774</v>
      </c>
      <c r="B146" s="49" t="s">
        <v>775</v>
      </c>
      <c r="C146" s="66"/>
      <c r="D146" s="64">
        <v>46038</v>
      </c>
      <c r="E146" s="64">
        <v>46068</v>
      </c>
    </row>
    <row r="147" spans="1:5" ht="15" customHeight="1" x14ac:dyDescent="0.25">
      <c r="A147" s="71" t="s">
        <v>57</v>
      </c>
      <c r="B147" s="53" t="s">
        <v>56</v>
      </c>
      <c r="C147" s="63">
        <v>41</v>
      </c>
      <c r="D147" s="64">
        <v>46038</v>
      </c>
      <c r="E147" s="64">
        <v>46068</v>
      </c>
    </row>
    <row r="148" spans="1:5" ht="15" hidden="1" customHeight="1" x14ac:dyDescent="0.25">
      <c r="A148" s="51" t="s">
        <v>211</v>
      </c>
      <c r="B148" s="49" t="s">
        <v>212</v>
      </c>
      <c r="C148" s="66"/>
      <c r="D148" s="64">
        <v>46038</v>
      </c>
      <c r="E148" s="64">
        <v>46068</v>
      </c>
    </row>
    <row r="149" spans="1:5" ht="15" hidden="1" customHeight="1" x14ac:dyDescent="0.25">
      <c r="A149" s="51" t="s">
        <v>91</v>
      </c>
      <c r="B149" s="49" t="s">
        <v>97</v>
      </c>
      <c r="C149" s="66"/>
      <c r="D149" s="64">
        <v>46038</v>
      </c>
      <c r="E149" s="64">
        <v>46068</v>
      </c>
    </row>
    <row r="150" spans="1:5" ht="15" hidden="1" customHeight="1" x14ac:dyDescent="0.25">
      <c r="A150" s="55" t="s">
        <v>170</v>
      </c>
      <c r="B150" s="53" t="s">
        <v>191</v>
      </c>
      <c r="C150" s="65"/>
      <c r="D150" s="64">
        <v>46038</v>
      </c>
      <c r="E150" s="64">
        <v>46068</v>
      </c>
    </row>
    <row r="151" spans="1:5" ht="15" hidden="1" customHeight="1" x14ac:dyDescent="0.25">
      <c r="A151" s="51" t="s">
        <v>202</v>
      </c>
      <c r="B151" s="49" t="s">
        <v>203</v>
      </c>
      <c r="C151" s="66"/>
      <c r="D151" s="64">
        <v>46038</v>
      </c>
      <c r="E151" s="64">
        <v>46068</v>
      </c>
    </row>
    <row r="152" spans="1:5" ht="15" hidden="1" customHeight="1" x14ac:dyDescent="0.25">
      <c r="A152" s="70" t="s">
        <v>88</v>
      </c>
      <c r="B152" s="62" t="s">
        <v>86</v>
      </c>
      <c r="C152" s="66"/>
      <c r="D152" s="64">
        <v>46038</v>
      </c>
      <c r="E152" s="64">
        <v>46068</v>
      </c>
    </row>
    <row r="153" spans="1:5" ht="15" hidden="1" customHeight="1" x14ac:dyDescent="0.25">
      <c r="A153" s="55" t="s">
        <v>443</v>
      </c>
      <c r="B153" s="53" t="s">
        <v>444</v>
      </c>
      <c r="C153" s="65"/>
      <c r="D153" s="64">
        <v>46038</v>
      </c>
      <c r="E153" s="64">
        <v>46068</v>
      </c>
    </row>
    <row r="154" spans="1:5" ht="15" hidden="1" customHeight="1" x14ac:dyDescent="0.25">
      <c r="A154" s="70" t="s">
        <v>407</v>
      </c>
      <c r="B154" s="62" t="s">
        <v>233</v>
      </c>
      <c r="C154" s="66"/>
      <c r="D154" s="64">
        <v>46038</v>
      </c>
      <c r="E154" s="64">
        <v>46068</v>
      </c>
    </row>
    <row r="155" spans="1:5" ht="15" customHeight="1" x14ac:dyDescent="0.25">
      <c r="A155" s="70" t="s">
        <v>71</v>
      </c>
      <c r="B155" s="62" t="s">
        <v>776</v>
      </c>
      <c r="C155" s="67">
        <v>14.3</v>
      </c>
      <c r="D155" s="64">
        <v>46038</v>
      </c>
      <c r="E155" s="64">
        <v>46068</v>
      </c>
    </row>
    <row r="156" spans="1:5" ht="15" hidden="1" customHeight="1" x14ac:dyDescent="0.25">
      <c r="A156" s="70" t="s">
        <v>225</v>
      </c>
      <c r="B156" s="62" t="s">
        <v>226</v>
      </c>
      <c r="C156" s="66"/>
      <c r="D156" s="64">
        <v>46038</v>
      </c>
      <c r="E156" s="64">
        <v>46068</v>
      </c>
    </row>
    <row r="157" spans="1:5" ht="15" hidden="1" customHeight="1" x14ac:dyDescent="0.25">
      <c r="A157" s="70" t="s">
        <v>185</v>
      </c>
      <c r="B157" s="62" t="s">
        <v>186</v>
      </c>
      <c r="C157" s="67"/>
      <c r="D157" s="64">
        <v>46038</v>
      </c>
      <c r="E157" s="64">
        <v>46068</v>
      </c>
    </row>
    <row r="158" spans="1:5" ht="15" hidden="1" customHeight="1" x14ac:dyDescent="0.25">
      <c r="A158" s="72" t="s">
        <v>70</v>
      </c>
      <c r="B158" s="68" t="s">
        <v>75</v>
      </c>
      <c r="C158" s="65"/>
      <c r="D158" s="64">
        <v>46038</v>
      </c>
      <c r="E158" s="64">
        <v>46068</v>
      </c>
    </row>
    <row r="159" spans="1:5" ht="15" hidden="1" customHeight="1" x14ac:dyDescent="0.25">
      <c r="A159" s="51" t="s">
        <v>104</v>
      </c>
      <c r="B159" s="49" t="s">
        <v>114</v>
      </c>
      <c r="C159" s="65"/>
      <c r="D159" s="64">
        <v>46038</v>
      </c>
      <c r="E159" s="64">
        <v>46068</v>
      </c>
    </row>
    <row r="160" spans="1:5" ht="15" hidden="1" customHeight="1" x14ac:dyDescent="0.25">
      <c r="A160" s="51" t="s">
        <v>297</v>
      </c>
      <c r="B160" s="49" t="s">
        <v>298</v>
      </c>
      <c r="C160" s="66"/>
      <c r="D160" s="64">
        <v>46038</v>
      </c>
      <c r="E160" s="64">
        <v>46068</v>
      </c>
    </row>
    <row r="161" spans="1:5" ht="15" hidden="1" customHeight="1" x14ac:dyDescent="0.25">
      <c r="A161" s="51" t="s">
        <v>210</v>
      </c>
      <c r="B161" s="49" t="s">
        <v>201</v>
      </c>
      <c r="C161" s="66"/>
      <c r="D161" s="64">
        <v>46038</v>
      </c>
      <c r="E161" s="64">
        <v>46068</v>
      </c>
    </row>
    <row r="162" spans="1:5" ht="15" hidden="1" customHeight="1" x14ac:dyDescent="0.25">
      <c r="A162" s="51" t="s">
        <v>219</v>
      </c>
      <c r="B162" s="49" t="s">
        <v>223</v>
      </c>
      <c r="C162" s="65"/>
      <c r="D162" s="64">
        <v>46038</v>
      </c>
      <c r="E162" s="64">
        <v>46068</v>
      </c>
    </row>
    <row r="163" spans="1:5" ht="15" hidden="1" customHeight="1" x14ac:dyDescent="0.25">
      <c r="A163" s="51" t="s">
        <v>217</v>
      </c>
      <c r="B163" s="49" t="s">
        <v>218</v>
      </c>
      <c r="C163" s="65"/>
      <c r="D163" s="64">
        <v>46038</v>
      </c>
      <c r="E163" s="64">
        <v>46068</v>
      </c>
    </row>
    <row r="164" spans="1:5" ht="15" hidden="1" customHeight="1" x14ac:dyDescent="0.25">
      <c r="A164" s="70" t="s">
        <v>100</v>
      </c>
      <c r="B164" s="62" t="s">
        <v>101</v>
      </c>
      <c r="C164" s="66"/>
      <c r="D164" s="64">
        <v>46038</v>
      </c>
      <c r="E164" s="64">
        <v>46068</v>
      </c>
    </row>
    <row r="165" spans="1:5" ht="15" hidden="1" customHeight="1" x14ac:dyDescent="0.25">
      <c r="A165" s="51" t="s">
        <v>110</v>
      </c>
      <c r="B165" s="49" t="s">
        <v>111</v>
      </c>
      <c r="C165" s="65"/>
      <c r="D165" s="64">
        <v>46038</v>
      </c>
      <c r="E165" s="64">
        <v>46068</v>
      </c>
    </row>
    <row r="166" spans="1:5" ht="15" hidden="1" customHeight="1" x14ac:dyDescent="0.25">
      <c r="A166" s="51" t="s">
        <v>777</v>
      </c>
      <c r="B166" s="49" t="s">
        <v>778</v>
      </c>
      <c r="C166" s="63"/>
      <c r="D166" s="64">
        <v>46038</v>
      </c>
      <c r="E166" s="64">
        <v>46068</v>
      </c>
    </row>
    <row r="167" spans="1:5" ht="15" hidden="1" customHeight="1" x14ac:dyDescent="0.25">
      <c r="A167" s="51" t="s">
        <v>408</v>
      </c>
      <c r="B167" s="49" t="s">
        <v>409</v>
      </c>
      <c r="C167" s="66"/>
      <c r="D167" s="64">
        <v>46038</v>
      </c>
      <c r="E167" s="64">
        <v>46068</v>
      </c>
    </row>
    <row r="168" spans="1:5" ht="15" hidden="1" customHeight="1" x14ac:dyDescent="0.25">
      <c r="A168" s="51" t="s">
        <v>310</v>
      </c>
      <c r="B168" s="49" t="s">
        <v>311</v>
      </c>
      <c r="C168" s="65"/>
      <c r="D168" s="64">
        <v>46038</v>
      </c>
      <c r="E168" s="64">
        <v>46068</v>
      </c>
    </row>
    <row r="169" spans="1:5" ht="15" hidden="1" customHeight="1" x14ac:dyDescent="0.25">
      <c r="A169" s="51" t="s">
        <v>187</v>
      </c>
      <c r="B169" s="49" t="s">
        <v>188</v>
      </c>
      <c r="C169" s="66"/>
      <c r="D169" s="64">
        <v>46038</v>
      </c>
      <c r="E169" s="64">
        <v>46068</v>
      </c>
    </row>
    <row r="170" spans="1:5" ht="15" customHeight="1" x14ac:dyDescent="0.25">
      <c r="A170" s="51" t="s">
        <v>50</v>
      </c>
      <c r="B170" s="49" t="s">
        <v>51</v>
      </c>
      <c r="C170" s="63">
        <v>4</v>
      </c>
      <c r="D170" s="64">
        <v>46038</v>
      </c>
      <c r="E170" s="64">
        <v>46068</v>
      </c>
    </row>
    <row r="171" spans="1:5" ht="15" hidden="1" customHeight="1" x14ac:dyDescent="0.25">
      <c r="A171" s="51" t="s">
        <v>209</v>
      </c>
      <c r="B171" s="49" t="s">
        <v>380</v>
      </c>
      <c r="C171" s="66"/>
      <c r="D171" s="64">
        <v>46038</v>
      </c>
      <c r="E171" s="64">
        <v>46068</v>
      </c>
    </row>
    <row r="172" spans="1:5" ht="15" hidden="1" customHeight="1" x14ac:dyDescent="0.25">
      <c r="A172" s="51" t="s">
        <v>159</v>
      </c>
      <c r="B172" s="49" t="s">
        <v>158</v>
      </c>
      <c r="C172" s="65"/>
      <c r="D172" s="64">
        <v>46038</v>
      </c>
      <c r="E172" s="64">
        <v>46068</v>
      </c>
    </row>
    <row r="173" spans="1:5" ht="15" hidden="1" customHeight="1" x14ac:dyDescent="0.25">
      <c r="A173" s="51" t="s">
        <v>437</v>
      </c>
      <c r="B173" s="49" t="s">
        <v>438</v>
      </c>
      <c r="C173" s="65"/>
      <c r="D173" s="64">
        <v>46038</v>
      </c>
      <c r="E173" s="64">
        <v>46068</v>
      </c>
    </row>
    <row r="174" spans="1:5" ht="15" hidden="1" customHeight="1" x14ac:dyDescent="0.25">
      <c r="A174" s="51" t="s">
        <v>93</v>
      </c>
      <c r="B174" s="49" t="s">
        <v>94</v>
      </c>
      <c r="C174" s="67"/>
      <c r="D174" s="64">
        <v>46038</v>
      </c>
      <c r="E174" s="64">
        <v>46068</v>
      </c>
    </row>
    <row r="175" spans="1:5" ht="15" hidden="1" customHeight="1" x14ac:dyDescent="0.25">
      <c r="A175" s="51" t="s">
        <v>95</v>
      </c>
      <c r="B175" s="49" t="s">
        <v>96</v>
      </c>
      <c r="C175" s="66"/>
      <c r="D175" s="64">
        <v>46038</v>
      </c>
      <c r="E175" s="64">
        <v>46068</v>
      </c>
    </row>
    <row r="176" spans="1:5" ht="15" hidden="1" customHeight="1" x14ac:dyDescent="0.25">
      <c r="A176" s="51" t="s">
        <v>304</v>
      </c>
      <c r="B176" s="49" t="s">
        <v>305</v>
      </c>
      <c r="C176" s="63"/>
      <c r="D176" s="64">
        <v>46038</v>
      </c>
      <c r="E176" s="64">
        <v>46068</v>
      </c>
    </row>
    <row r="177" spans="1:5" ht="15" hidden="1" customHeight="1" x14ac:dyDescent="0.25">
      <c r="A177" s="51" t="s">
        <v>356</v>
      </c>
      <c r="B177" s="49" t="s">
        <v>357</v>
      </c>
      <c r="C177" s="63"/>
      <c r="D177" s="64">
        <v>46038</v>
      </c>
      <c r="E177" s="64">
        <v>46068</v>
      </c>
    </row>
    <row r="178" spans="1:5" ht="15" hidden="1" customHeight="1" x14ac:dyDescent="0.25">
      <c r="A178" s="55" t="s">
        <v>182</v>
      </c>
      <c r="B178" s="53" t="s">
        <v>441</v>
      </c>
      <c r="C178" s="65"/>
      <c r="D178" s="64">
        <v>46038</v>
      </c>
      <c r="E178" s="64">
        <v>46068</v>
      </c>
    </row>
    <row r="179" spans="1:5" ht="15" hidden="1" customHeight="1" x14ac:dyDescent="0.25">
      <c r="A179" s="51" t="s">
        <v>92</v>
      </c>
      <c r="B179" s="49" t="s">
        <v>115</v>
      </c>
      <c r="C179" s="67"/>
      <c r="D179" s="64">
        <v>46038</v>
      </c>
      <c r="E179" s="64">
        <v>46068</v>
      </c>
    </row>
    <row r="180" spans="1:5" ht="15" hidden="1" customHeight="1" x14ac:dyDescent="0.25">
      <c r="A180" s="51" t="s">
        <v>467</v>
      </c>
      <c r="B180" s="49" t="s">
        <v>468</v>
      </c>
      <c r="C180" s="63"/>
      <c r="D180" s="64">
        <v>46038</v>
      </c>
      <c r="E180" s="64">
        <v>46068</v>
      </c>
    </row>
    <row r="181" spans="1:5" ht="15" hidden="1" customHeight="1" x14ac:dyDescent="0.25">
      <c r="A181" s="55" t="s">
        <v>60</v>
      </c>
      <c r="B181" s="53" t="s">
        <v>77</v>
      </c>
      <c r="C181" s="65"/>
      <c r="D181" s="64">
        <v>46038</v>
      </c>
      <c r="E181" s="64">
        <v>46068</v>
      </c>
    </row>
    <row r="182" spans="1:5" ht="15" hidden="1" customHeight="1" x14ac:dyDescent="0.25">
      <c r="A182" s="51" t="s">
        <v>358</v>
      </c>
      <c r="B182" s="49" t="s">
        <v>359</v>
      </c>
      <c r="C182" s="65"/>
      <c r="D182" s="64">
        <v>46038</v>
      </c>
      <c r="E182" s="64">
        <v>46068</v>
      </c>
    </row>
    <row r="183" spans="1:5" ht="15" hidden="1" customHeight="1" x14ac:dyDescent="0.25">
      <c r="A183" s="69" t="s">
        <v>429</v>
      </c>
      <c r="B183" s="62" t="s">
        <v>430</v>
      </c>
      <c r="C183" s="67"/>
      <c r="D183" s="64">
        <v>46038</v>
      </c>
      <c r="E183" s="64">
        <v>46068</v>
      </c>
    </row>
    <row r="184" spans="1:5" ht="15" hidden="1" customHeight="1" x14ac:dyDescent="0.25">
      <c r="A184" s="51" t="s">
        <v>251</v>
      </c>
      <c r="B184" s="49" t="s">
        <v>239</v>
      </c>
      <c r="C184" s="67"/>
      <c r="D184" s="64">
        <v>46038</v>
      </c>
      <c r="E184" s="64">
        <v>46068</v>
      </c>
    </row>
    <row r="185" spans="1:5" ht="15" hidden="1" customHeight="1" x14ac:dyDescent="0.25">
      <c r="A185" s="55" t="s">
        <v>172</v>
      </c>
      <c r="B185" s="53" t="s">
        <v>173</v>
      </c>
      <c r="C185" s="63"/>
      <c r="D185" s="64">
        <v>46038</v>
      </c>
      <c r="E185" s="64">
        <v>46068</v>
      </c>
    </row>
    <row r="186" spans="1:5" ht="15" hidden="1" customHeight="1" x14ac:dyDescent="0.25">
      <c r="A186" s="51" t="s">
        <v>118</v>
      </c>
      <c r="B186" s="49" t="s">
        <v>119</v>
      </c>
      <c r="C186" s="66"/>
      <c r="D186" s="64">
        <v>46038</v>
      </c>
      <c r="E186" s="64">
        <v>46068</v>
      </c>
    </row>
    <row r="187" spans="1:5" ht="15" hidden="1" customHeight="1" x14ac:dyDescent="0.25">
      <c r="A187" s="51" t="s">
        <v>213</v>
      </c>
      <c r="B187" s="49" t="s">
        <v>214</v>
      </c>
      <c r="C187" s="66"/>
      <c r="D187" s="64">
        <v>46038</v>
      </c>
      <c r="E187" s="64">
        <v>46068</v>
      </c>
    </row>
    <row r="188" spans="1:5" ht="15" customHeight="1" x14ac:dyDescent="0.25">
      <c r="A188" s="55" t="s">
        <v>199</v>
      </c>
      <c r="B188" s="53" t="s">
        <v>200</v>
      </c>
      <c r="C188" s="63">
        <v>32</v>
      </c>
      <c r="D188" s="64">
        <v>46038</v>
      </c>
      <c r="E188" s="64">
        <v>46068</v>
      </c>
    </row>
    <row r="189" spans="1:5" ht="15" customHeight="1" x14ac:dyDescent="0.25">
      <c r="A189" s="55" t="s">
        <v>288</v>
      </c>
      <c r="B189" s="53" t="s">
        <v>289</v>
      </c>
      <c r="C189" s="63">
        <v>2</v>
      </c>
      <c r="D189" s="64">
        <v>46038</v>
      </c>
      <c r="E189" s="64">
        <v>46068</v>
      </c>
    </row>
    <row r="190" spans="1:5" ht="15" customHeight="1" x14ac:dyDescent="0.25">
      <c r="A190" s="55" t="s">
        <v>141</v>
      </c>
      <c r="B190" s="53" t="s">
        <v>142</v>
      </c>
      <c r="C190" s="63">
        <v>12</v>
      </c>
      <c r="D190" s="64">
        <v>46038</v>
      </c>
      <c r="E190" s="64">
        <v>46068</v>
      </c>
    </row>
    <row r="191" spans="1:5" ht="15" hidden="1" customHeight="1" x14ac:dyDescent="0.25">
      <c r="A191" s="51" t="s">
        <v>16</v>
      </c>
      <c r="B191" s="49" t="s">
        <v>37</v>
      </c>
      <c r="C191" s="67"/>
      <c r="D191" s="64">
        <v>46038</v>
      </c>
      <c r="E191" s="64">
        <v>46068</v>
      </c>
    </row>
    <row r="192" spans="1:5" ht="15" hidden="1" customHeight="1" x14ac:dyDescent="0.25">
      <c r="A192" s="51" t="s">
        <v>779</v>
      </c>
      <c r="B192" s="49" t="s">
        <v>780</v>
      </c>
      <c r="C192" s="67"/>
      <c r="D192" s="64">
        <v>46038</v>
      </c>
      <c r="E192" s="64">
        <v>46068</v>
      </c>
    </row>
    <row r="193" spans="1:5" ht="15" customHeight="1" x14ac:dyDescent="0.25">
      <c r="A193" s="51" t="s">
        <v>391</v>
      </c>
      <c r="B193" s="49" t="s">
        <v>395</v>
      </c>
      <c r="C193" s="63">
        <v>4</v>
      </c>
      <c r="D193" s="64">
        <v>46038</v>
      </c>
      <c r="E193" s="64">
        <v>46068</v>
      </c>
    </row>
    <row r="194" spans="1:5" ht="15" hidden="1" customHeight="1" x14ac:dyDescent="0.25">
      <c r="A194" s="70" t="s">
        <v>299</v>
      </c>
      <c r="B194" s="62" t="s">
        <v>300</v>
      </c>
      <c r="C194" s="66"/>
      <c r="D194" s="64">
        <v>46038</v>
      </c>
      <c r="E194" s="64">
        <v>46068</v>
      </c>
    </row>
    <row r="195" spans="1:5" ht="15" hidden="1" customHeight="1" x14ac:dyDescent="0.25">
      <c r="A195" s="70" t="s">
        <v>150</v>
      </c>
      <c r="B195" s="62" t="s">
        <v>316</v>
      </c>
      <c r="C195" s="66"/>
      <c r="D195" s="64">
        <v>46038</v>
      </c>
      <c r="E195" s="64">
        <v>46068</v>
      </c>
    </row>
    <row r="196" spans="1:5" ht="15" hidden="1" customHeight="1" x14ac:dyDescent="0.25">
      <c r="A196" s="55" t="s">
        <v>66</v>
      </c>
      <c r="B196" s="53" t="s">
        <v>65</v>
      </c>
      <c r="C196" s="63"/>
      <c r="D196" s="64">
        <v>46038</v>
      </c>
      <c r="E196" s="64">
        <v>46068</v>
      </c>
    </row>
    <row r="197" spans="1:5" ht="15" hidden="1" customHeight="1" x14ac:dyDescent="0.25">
      <c r="A197" s="55" t="s">
        <v>372</v>
      </c>
      <c r="B197" s="53" t="s">
        <v>264</v>
      </c>
      <c r="C197" s="65"/>
      <c r="D197" s="64">
        <v>46038</v>
      </c>
      <c r="E197" s="64">
        <v>46068</v>
      </c>
    </row>
    <row r="198" spans="1:5" ht="15" hidden="1" customHeight="1" x14ac:dyDescent="0.25">
      <c r="A198" s="51" t="s">
        <v>17</v>
      </c>
      <c r="B198" s="49" t="s">
        <v>35</v>
      </c>
      <c r="C198" s="63"/>
      <c r="D198" s="64">
        <v>46038</v>
      </c>
      <c r="E198" s="64">
        <v>46068</v>
      </c>
    </row>
    <row r="199" spans="1:5" ht="15" hidden="1" customHeight="1" x14ac:dyDescent="0.25">
      <c r="A199" s="55" t="s">
        <v>160</v>
      </c>
      <c r="B199" s="53" t="s">
        <v>149</v>
      </c>
      <c r="C199" s="65"/>
      <c r="D199" s="64">
        <v>46038</v>
      </c>
      <c r="E199" s="64">
        <v>46068</v>
      </c>
    </row>
    <row r="200" spans="1:5" ht="15" hidden="1" customHeight="1" x14ac:dyDescent="0.25">
      <c r="A200" s="55" t="s">
        <v>137</v>
      </c>
      <c r="B200" s="53" t="s">
        <v>138</v>
      </c>
      <c r="C200" s="65"/>
      <c r="D200" s="64">
        <v>46038</v>
      </c>
      <c r="E200" s="64">
        <v>46068</v>
      </c>
    </row>
    <row r="201" spans="1:5" ht="15" hidden="1" customHeight="1" x14ac:dyDescent="0.25">
      <c r="A201" s="51" t="s">
        <v>183</v>
      </c>
      <c r="B201" s="49" t="s">
        <v>184</v>
      </c>
      <c r="C201" s="66"/>
      <c r="D201" s="64">
        <v>46038</v>
      </c>
      <c r="E201" s="64">
        <v>46068</v>
      </c>
    </row>
    <row r="202" spans="1:5" ht="15" hidden="1" customHeight="1" x14ac:dyDescent="0.25">
      <c r="A202" s="51" t="s">
        <v>222</v>
      </c>
      <c r="B202" s="49" t="s">
        <v>253</v>
      </c>
      <c r="C202" s="66"/>
      <c r="D202" s="64">
        <v>46038</v>
      </c>
      <c r="E202" s="64">
        <v>46068</v>
      </c>
    </row>
    <row r="203" spans="1:5" ht="15" customHeight="1" x14ac:dyDescent="0.25">
      <c r="A203" s="55" t="s">
        <v>28</v>
      </c>
      <c r="B203" s="53" t="s">
        <v>171</v>
      </c>
      <c r="C203" s="63">
        <v>3</v>
      </c>
      <c r="D203" s="64">
        <v>46038</v>
      </c>
      <c r="E203" s="64">
        <v>46068</v>
      </c>
    </row>
    <row r="204" spans="1:5" ht="15" hidden="1" customHeight="1" x14ac:dyDescent="0.25">
      <c r="A204" s="51" t="s">
        <v>135</v>
      </c>
      <c r="B204" s="49" t="s">
        <v>136</v>
      </c>
      <c r="C204" s="66"/>
      <c r="D204" s="64">
        <v>46038</v>
      </c>
      <c r="E204" s="64">
        <v>46068</v>
      </c>
    </row>
    <row r="205" spans="1:5" ht="15" customHeight="1" x14ac:dyDescent="0.25">
      <c r="A205" s="51" t="s">
        <v>72</v>
      </c>
      <c r="B205" s="49" t="s">
        <v>781</v>
      </c>
      <c r="C205" s="67">
        <v>17</v>
      </c>
      <c r="D205" s="64">
        <v>46038</v>
      </c>
      <c r="E205" s="64">
        <v>46068</v>
      </c>
    </row>
    <row r="206" spans="1:5" ht="15" hidden="1" customHeight="1" x14ac:dyDescent="0.25">
      <c r="A206" s="55" t="s">
        <v>277</v>
      </c>
      <c r="B206" s="53" t="s">
        <v>290</v>
      </c>
      <c r="C206" s="65"/>
      <c r="D206" s="64">
        <v>46038</v>
      </c>
      <c r="E206" s="64">
        <v>46068</v>
      </c>
    </row>
    <row r="207" spans="1:5" ht="15" hidden="1" customHeight="1" x14ac:dyDescent="0.25">
      <c r="A207" s="55" t="s">
        <v>315</v>
      </c>
      <c r="B207" s="53" t="s">
        <v>314</v>
      </c>
      <c r="C207" s="65"/>
      <c r="D207" s="64">
        <v>46038</v>
      </c>
      <c r="E207" s="64">
        <v>46068</v>
      </c>
    </row>
    <row r="208" spans="1:5" ht="15" hidden="1" customHeight="1" x14ac:dyDescent="0.25">
      <c r="A208" s="51" t="s">
        <v>388</v>
      </c>
      <c r="B208" s="49" t="s">
        <v>397</v>
      </c>
      <c r="C208" s="66"/>
      <c r="D208" s="64">
        <v>46038</v>
      </c>
      <c r="E208" s="64">
        <v>46068</v>
      </c>
    </row>
    <row r="209" spans="1:5" ht="15" hidden="1" customHeight="1" x14ac:dyDescent="0.25">
      <c r="A209" s="51" t="s">
        <v>401</v>
      </c>
      <c r="B209" s="49" t="s">
        <v>406</v>
      </c>
      <c r="C209" s="67"/>
      <c r="D209" s="64">
        <v>46038</v>
      </c>
      <c r="E209" s="64">
        <v>46068</v>
      </c>
    </row>
    <row r="210" spans="1:5" ht="15" hidden="1" customHeight="1" x14ac:dyDescent="0.25">
      <c r="A210" s="51" t="s">
        <v>306</v>
      </c>
      <c r="B210" s="49" t="s">
        <v>307</v>
      </c>
      <c r="C210" s="66"/>
      <c r="D210" s="64">
        <v>46038</v>
      </c>
      <c r="E210" s="64">
        <v>46068</v>
      </c>
    </row>
    <row r="211" spans="1:5" ht="15" hidden="1" customHeight="1" x14ac:dyDescent="0.25">
      <c r="A211" s="55" t="s">
        <v>385</v>
      </c>
      <c r="B211" s="53" t="s">
        <v>59</v>
      </c>
      <c r="C211" s="65"/>
      <c r="D211" s="64">
        <v>46038</v>
      </c>
      <c r="E211" s="64">
        <v>46068</v>
      </c>
    </row>
    <row r="212" spans="1:5" ht="15" customHeight="1" x14ac:dyDescent="0.25">
      <c r="A212" s="55" t="s">
        <v>180</v>
      </c>
      <c r="B212" s="53" t="s">
        <v>181</v>
      </c>
      <c r="C212" s="63">
        <v>42</v>
      </c>
      <c r="D212" s="64">
        <v>46038</v>
      </c>
      <c r="E212" s="64">
        <v>46068</v>
      </c>
    </row>
    <row r="213" spans="1:5" ht="15" hidden="1" customHeight="1" x14ac:dyDescent="0.25">
      <c r="A213" s="51" t="s">
        <v>19</v>
      </c>
      <c r="B213" s="49" t="s">
        <v>41</v>
      </c>
      <c r="C213" s="67"/>
      <c r="D213" s="64">
        <v>46038</v>
      </c>
      <c r="E213" s="64">
        <v>46068</v>
      </c>
    </row>
    <row r="214" spans="1:5" ht="15" customHeight="1" x14ac:dyDescent="0.25">
      <c r="A214" s="55" t="s">
        <v>782</v>
      </c>
      <c r="B214" s="53" t="s">
        <v>783</v>
      </c>
      <c r="C214" s="63">
        <v>4</v>
      </c>
      <c r="D214" s="64">
        <v>46038</v>
      </c>
      <c r="E214" s="64">
        <v>46068</v>
      </c>
    </row>
    <row r="215" spans="1:5" ht="15.75" customHeight="1" x14ac:dyDescent="0.25"/>
    <row r="216" spans="1:5" ht="15.75" customHeight="1" x14ac:dyDescent="0.25"/>
    <row r="217" spans="1:5" ht="15.75" customHeight="1" x14ac:dyDescent="0.25"/>
    <row r="218" spans="1:5" ht="15.75" customHeight="1" x14ac:dyDescent="0.25"/>
    <row r="219" spans="1:5" ht="15.75" customHeight="1" x14ac:dyDescent="0.25"/>
    <row r="220" spans="1:5" ht="15.75" customHeight="1" x14ac:dyDescent="0.25"/>
    <row r="221" spans="1:5" ht="15.75" customHeight="1" x14ac:dyDescent="0.25"/>
    <row r="222" spans="1:5" ht="15.75" customHeight="1" x14ac:dyDescent="0.25"/>
    <row r="223" spans="1:5" ht="15.75" customHeight="1" x14ac:dyDescent="0.25"/>
    <row r="224" spans="1: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" customHeight="1" x14ac:dyDescent="0.25"/>
    <row r="960" ht="15" customHeight="1" x14ac:dyDescent="0.25"/>
    <row r="961" ht="15" customHeight="1" x14ac:dyDescent="0.25"/>
    <row r="962" ht="15" customHeight="1" x14ac:dyDescent="0.25"/>
  </sheetData>
  <autoFilter ref="A4:E214" xr:uid="{5646E3FD-310B-4152-941A-AA5904F656AA}">
    <filterColumn colId="2">
      <customFilters>
        <customFilter operator="notEqual" val=" "/>
      </customFilters>
    </filterColumn>
  </autoFilter>
  <mergeCells count="2">
    <mergeCell ref="A1:E1"/>
    <mergeCell ref="A2:E2"/>
  </mergeCells>
  <pageMargins left="1.299212598425197" right="0.70866141732283472" top="0.74803149606299213" bottom="0.74803149606299213" header="0.31496062992125984" footer="0.31496062992125984"/>
  <pageSetup paperSize="5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 filterMode="1">
    <tabColor theme="4"/>
  </sheetPr>
  <dimension ref="A1:I65"/>
  <sheetViews>
    <sheetView tabSelected="1" zoomScale="120" zoomScaleNormal="120" workbookViewId="0">
      <selection activeCell="E1" sqref="E1:E1048576"/>
    </sheetView>
  </sheetViews>
  <sheetFormatPr baseColWidth="10" defaultColWidth="11.42578125" defaultRowHeight="15" x14ac:dyDescent="0.25"/>
  <cols>
    <col min="1" max="1" width="22" customWidth="1"/>
    <col min="2" max="2" width="20.28515625" style="3" customWidth="1"/>
    <col min="3" max="4" width="20.42578125" style="3" customWidth="1"/>
    <col min="5" max="5" width="13.7109375" style="3" customWidth="1"/>
    <col min="6" max="6" width="11.42578125" customWidth="1"/>
    <col min="9" max="9" width="25.7109375" bestFit="1" customWidth="1"/>
  </cols>
  <sheetData>
    <row r="1" spans="1:8" x14ac:dyDescent="0.25">
      <c r="B1"/>
      <c r="C1"/>
      <c r="D1"/>
      <c r="F1" s="3"/>
    </row>
    <row r="2" spans="1:8" ht="15.75" thickBot="1" x14ac:dyDescent="0.3">
      <c r="A2" s="86" t="s">
        <v>751</v>
      </c>
      <c r="B2" s="86"/>
      <c r="C2" s="86"/>
      <c r="D2" s="86"/>
      <c r="E2" s="86"/>
      <c r="F2" s="86"/>
      <c r="G2" s="86"/>
      <c r="H2" s="86"/>
    </row>
    <row r="3" spans="1:8" ht="45" customHeight="1" x14ac:dyDescent="0.25">
      <c r="A3" s="11" t="s">
        <v>0</v>
      </c>
      <c r="B3" s="12" t="s">
        <v>597</v>
      </c>
      <c r="C3" s="12" t="s">
        <v>598</v>
      </c>
      <c r="D3" s="12" t="s">
        <v>599</v>
      </c>
      <c r="E3" s="13" t="s">
        <v>343</v>
      </c>
      <c r="F3" s="13" t="s">
        <v>344</v>
      </c>
      <c r="G3" s="12" t="s">
        <v>3</v>
      </c>
      <c r="H3" s="14" t="s">
        <v>4</v>
      </c>
    </row>
    <row r="4" spans="1:8" hidden="1" x14ac:dyDescent="0.25">
      <c r="A4" s="7" t="s">
        <v>784</v>
      </c>
      <c r="B4" s="7" t="s">
        <v>785</v>
      </c>
      <c r="C4" s="7" t="s">
        <v>786</v>
      </c>
      <c r="D4" s="7" t="s">
        <v>787</v>
      </c>
      <c r="E4" s="42"/>
      <c r="F4" s="42">
        <v>8</v>
      </c>
      <c r="G4" s="18">
        <v>46037</v>
      </c>
      <c r="H4" s="18">
        <v>46069</v>
      </c>
    </row>
    <row r="5" spans="1:8" x14ac:dyDescent="0.25">
      <c r="A5" s="7" t="s">
        <v>326</v>
      </c>
      <c r="B5" s="7" t="s">
        <v>493</v>
      </c>
      <c r="C5" s="7" t="s">
        <v>536</v>
      </c>
      <c r="D5" s="7" t="s">
        <v>570</v>
      </c>
      <c r="E5" s="42">
        <v>14.3</v>
      </c>
      <c r="F5" s="42">
        <v>28</v>
      </c>
      <c r="G5" s="18">
        <v>46037</v>
      </c>
      <c r="H5" s="18">
        <v>46069</v>
      </c>
    </row>
    <row r="6" spans="1:8" hidden="1" x14ac:dyDescent="0.25">
      <c r="A6" s="7" t="s">
        <v>324</v>
      </c>
      <c r="B6" s="7" t="s">
        <v>488</v>
      </c>
      <c r="C6" s="7" t="s">
        <v>530</v>
      </c>
      <c r="D6" s="7" t="s">
        <v>566</v>
      </c>
      <c r="E6" s="42"/>
      <c r="F6" s="42"/>
      <c r="G6" s="18">
        <v>46037</v>
      </c>
      <c r="H6" s="18">
        <v>46069</v>
      </c>
    </row>
    <row r="7" spans="1:8" hidden="1" x14ac:dyDescent="0.25">
      <c r="A7" s="7" t="s">
        <v>365</v>
      </c>
      <c r="B7" s="7" t="s">
        <v>478</v>
      </c>
      <c r="C7" s="7" t="s">
        <v>520</v>
      </c>
      <c r="D7" s="7" t="s">
        <v>560</v>
      </c>
      <c r="E7" s="42"/>
      <c r="F7" s="42"/>
      <c r="G7" s="18">
        <v>46037</v>
      </c>
      <c r="H7" s="18">
        <v>46069</v>
      </c>
    </row>
    <row r="8" spans="1:8" hidden="1" x14ac:dyDescent="0.25">
      <c r="A8" s="7" t="s">
        <v>350</v>
      </c>
      <c r="B8" s="7" t="s">
        <v>607</v>
      </c>
      <c r="C8" s="7" t="s">
        <v>609</v>
      </c>
      <c r="D8" s="7" t="s">
        <v>608</v>
      </c>
      <c r="E8" s="42"/>
      <c r="F8" s="42"/>
      <c r="G8" s="18">
        <v>46037</v>
      </c>
      <c r="H8" s="18">
        <v>46069</v>
      </c>
    </row>
    <row r="9" spans="1:8" hidden="1" x14ac:dyDescent="0.25">
      <c r="A9" s="7" t="s">
        <v>322</v>
      </c>
      <c r="B9" s="7" t="s">
        <v>484</v>
      </c>
      <c r="C9" s="7" t="s">
        <v>526</v>
      </c>
      <c r="D9" s="7" t="s">
        <v>562</v>
      </c>
      <c r="E9" s="42"/>
      <c r="F9" s="42"/>
      <c r="G9" s="18">
        <v>46037</v>
      </c>
      <c r="H9" s="18">
        <v>46069</v>
      </c>
    </row>
    <row r="10" spans="1:8" ht="15.75" customHeight="1" x14ac:dyDescent="0.25">
      <c r="A10" s="19" t="s">
        <v>375</v>
      </c>
      <c r="B10" s="7" t="s">
        <v>600</v>
      </c>
      <c r="C10" s="7" t="s">
        <v>601</v>
      </c>
      <c r="D10" s="7" t="s">
        <v>507</v>
      </c>
      <c r="E10" s="42">
        <v>16</v>
      </c>
      <c r="F10" s="42">
        <v>8</v>
      </c>
      <c r="G10" s="18">
        <v>46037</v>
      </c>
      <c r="H10" s="18">
        <v>46069</v>
      </c>
    </row>
    <row r="11" spans="1:8" hidden="1" x14ac:dyDescent="0.25">
      <c r="A11" s="19" t="s">
        <v>447</v>
      </c>
      <c r="B11" s="7" t="s">
        <v>486</v>
      </c>
      <c r="C11" s="7" t="s">
        <v>528</v>
      </c>
      <c r="D11" s="7" t="s">
        <v>564</v>
      </c>
      <c r="E11" s="42"/>
      <c r="F11" s="42"/>
      <c r="G11" s="18">
        <v>46037</v>
      </c>
      <c r="H11" s="18">
        <v>46069</v>
      </c>
    </row>
    <row r="12" spans="1:8" hidden="1" x14ac:dyDescent="0.25">
      <c r="A12" s="7" t="s">
        <v>325</v>
      </c>
      <c r="B12" s="7" t="s">
        <v>491</v>
      </c>
      <c r="C12" s="7" t="s">
        <v>534</v>
      </c>
      <c r="D12" s="7" t="s">
        <v>568</v>
      </c>
      <c r="E12" s="42"/>
      <c r="F12" s="42"/>
      <c r="G12" s="18">
        <v>46037</v>
      </c>
      <c r="H12" s="18">
        <v>46069</v>
      </c>
    </row>
    <row r="13" spans="1:8" hidden="1" x14ac:dyDescent="0.25">
      <c r="A13" s="7" t="s">
        <v>321</v>
      </c>
      <c r="B13" s="7" t="s">
        <v>483</v>
      </c>
      <c r="C13" s="7" t="s">
        <v>525</v>
      </c>
      <c r="D13" s="7" t="s">
        <v>610</v>
      </c>
      <c r="E13" s="42"/>
      <c r="F13" s="42">
        <v>48</v>
      </c>
      <c r="G13" s="18">
        <v>46037</v>
      </c>
      <c r="H13" s="18">
        <v>46069</v>
      </c>
    </row>
    <row r="14" spans="1:8" x14ac:dyDescent="0.25">
      <c r="A14" s="19" t="s">
        <v>452</v>
      </c>
      <c r="B14" s="7" t="s">
        <v>483</v>
      </c>
      <c r="C14" s="7" t="s">
        <v>525</v>
      </c>
      <c r="D14" s="7" t="s">
        <v>583</v>
      </c>
      <c r="E14" s="42">
        <v>16</v>
      </c>
      <c r="F14" s="42">
        <v>28</v>
      </c>
      <c r="G14" s="18">
        <v>46037</v>
      </c>
      <c r="H14" s="18">
        <v>46069</v>
      </c>
    </row>
    <row r="15" spans="1:8" ht="15" customHeight="1" x14ac:dyDescent="0.25">
      <c r="A15" s="7" t="s">
        <v>346</v>
      </c>
      <c r="B15" s="7" t="s">
        <v>483</v>
      </c>
      <c r="C15" s="7" t="s">
        <v>548</v>
      </c>
      <c r="D15" s="7" t="s">
        <v>584</v>
      </c>
      <c r="E15" s="42">
        <v>10</v>
      </c>
      <c r="F15" s="42">
        <v>56</v>
      </c>
      <c r="G15" s="18">
        <v>46037</v>
      </c>
      <c r="H15" s="18">
        <v>46069</v>
      </c>
    </row>
    <row r="16" spans="1:8" hidden="1" x14ac:dyDescent="0.25">
      <c r="A16" s="7" t="s">
        <v>381</v>
      </c>
      <c r="B16" s="7" t="s">
        <v>489</v>
      </c>
      <c r="C16" s="7" t="s">
        <v>531</v>
      </c>
      <c r="D16" s="7" t="s">
        <v>567</v>
      </c>
      <c r="E16" s="42"/>
      <c r="F16" s="42">
        <v>21.3</v>
      </c>
      <c r="G16" s="18">
        <v>46037</v>
      </c>
      <c r="H16" s="18">
        <v>46069</v>
      </c>
    </row>
    <row r="17" spans="1:8" x14ac:dyDescent="0.25">
      <c r="A17" s="7" t="s">
        <v>334</v>
      </c>
      <c r="B17" s="7" t="s">
        <v>508</v>
      </c>
      <c r="C17" s="7" t="s">
        <v>550</v>
      </c>
      <c r="D17" s="7" t="s">
        <v>587</v>
      </c>
      <c r="E17" s="42">
        <v>9</v>
      </c>
      <c r="F17" s="42">
        <v>32</v>
      </c>
      <c r="G17" s="18">
        <v>46037</v>
      </c>
      <c r="H17" s="18">
        <v>46069</v>
      </c>
    </row>
    <row r="18" spans="1:8" hidden="1" x14ac:dyDescent="0.25">
      <c r="A18" s="7" t="s">
        <v>788</v>
      </c>
      <c r="B18" s="7" t="s">
        <v>789</v>
      </c>
      <c r="C18" s="7" t="s">
        <v>790</v>
      </c>
      <c r="D18" s="7" t="s">
        <v>791</v>
      </c>
      <c r="E18" s="42"/>
      <c r="F18" s="42">
        <v>12</v>
      </c>
      <c r="G18" s="18">
        <v>46037</v>
      </c>
      <c r="H18" s="18">
        <v>46069</v>
      </c>
    </row>
    <row r="19" spans="1:8" x14ac:dyDescent="0.25">
      <c r="A19" s="7" t="s">
        <v>383</v>
      </c>
      <c r="B19" s="7" t="s">
        <v>496</v>
      </c>
      <c r="C19" s="7" t="s">
        <v>539</v>
      </c>
      <c r="D19" s="7" t="s">
        <v>574</v>
      </c>
      <c r="E19" s="42">
        <v>12</v>
      </c>
      <c r="F19" s="42">
        <v>94.3</v>
      </c>
      <c r="G19" s="18">
        <v>46037</v>
      </c>
      <c r="H19" s="18">
        <v>46069</v>
      </c>
    </row>
    <row r="20" spans="1:8" x14ac:dyDescent="0.25">
      <c r="A20" s="7" t="s">
        <v>345</v>
      </c>
      <c r="B20" s="7" t="s">
        <v>487</v>
      </c>
      <c r="C20" s="7" t="s">
        <v>529</v>
      </c>
      <c r="D20" s="7" t="s">
        <v>565</v>
      </c>
      <c r="E20" s="42">
        <v>18.3</v>
      </c>
      <c r="F20" s="42">
        <v>16</v>
      </c>
      <c r="G20" s="18">
        <v>46037</v>
      </c>
      <c r="H20" s="18">
        <v>46069</v>
      </c>
    </row>
    <row r="21" spans="1:8" hidden="1" x14ac:dyDescent="0.25">
      <c r="A21" s="7" t="s">
        <v>331</v>
      </c>
      <c r="B21" s="7" t="s">
        <v>499</v>
      </c>
      <c r="C21" s="7" t="s">
        <v>541</v>
      </c>
      <c r="D21" s="7" t="s">
        <v>577</v>
      </c>
      <c r="E21" s="42"/>
      <c r="F21" s="42"/>
      <c r="G21" s="18">
        <v>46037</v>
      </c>
      <c r="H21" s="18">
        <v>46069</v>
      </c>
    </row>
    <row r="22" spans="1:8" hidden="1" x14ac:dyDescent="0.25">
      <c r="A22" s="19" t="s">
        <v>445</v>
      </c>
      <c r="B22" s="7" t="s">
        <v>502</v>
      </c>
      <c r="C22" s="7" t="s">
        <v>545</v>
      </c>
      <c r="D22" s="7" t="s">
        <v>581</v>
      </c>
      <c r="E22" s="42"/>
      <c r="F22" s="42"/>
      <c r="G22" s="18">
        <v>46037</v>
      </c>
      <c r="H22" s="18">
        <v>46069</v>
      </c>
    </row>
    <row r="23" spans="1:8" x14ac:dyDescent="0.25">
      <c r="A23" s="7" t="s">
        <v>266</v>
      </c>
      <c r="B23" s="7" t="s">
        <v>495</v>
      </c>
      <c r="C23" s="7" t="s">
        <v>498</v>
      </c>
      <c r="D23" s="7" t="s">
        <v>573</v>
      </c>
      <c r="E23" s="42">
        <v>4.3</v>
      </c>
      <c r="F23" s="42">
        <v>68</v>
      </c>
      <c r="G23" s="18">
        <v>46037</v>
      </c>
      <c r="H23" s="18">
        <v>46069</v>
      </c>
    </row>
    <row r="24" spans="1:8" x14ac:dyDescent="0.25">
      <c r="A24" s="7" t="s">
        <v>347</v>
      </c>
      <c r="B24" s="7" t="s">
        <v>505</v>
      </c>
      <c r="C24" s="7" t="s">
        <v>505</v>
      </c>
      <c r="D24" s="7" t="s">
        <v>585</v>
      </c>
      <c r="E24" s="42">
        <v>8</v>
      </c>
      <c r="F24" s="42">
        <v>52</v>
      </c>
      <c r="G24" s="18">
        <v>46037</v>
      </c>
      <c r="H24" s="18">
        <v>46069</v>
      </c>
    </row>
    <row r="25" spans="1:8" x14ac:dyDescent="0.25">
      <c r="A25" s="7" t="s">
        <v>335</v>
      </c>
      <c r="B25" s="7" t="s">
        <v>604</v>
      </c>
      <c r="C25" s="7" t="s">
        <v>611</v>
      </c>
      <c r="D25" s="7" t="s">
        <v>509</v>
      </c>
      <c r="E25" s="42">
        <v>12</v>
      </c>
      <c r="F25" s="42">
        <v>36</v>
      </c>
      <c r="G25" s="18">
        <v>46037</v>
      </c>
      <c r="H25" s="18">
        <v>46069</v>
      </c>
    </row>
    <row r="26" spans="1:8" x14ac:dyDescent="0.25">
      <c r="A26" s="7" t="s">
        <v>338</v>
      </c>
      <c r="B26" s="7" t="s">
        <v>602</v>
      </c>
      <c r="C26" s="7" t="s">
        <v>612</v>
      </c>
      <c r="D26" s="7" t="s">
        <v>513</v>
      </c>
      <c r="E26" s="42">
        <v>13</v>
      </c>
      <c r="F26" s="42">
        <v>31</v>
      </c>
      <c r="G26" s="18">
        <v>46037</v>
      </c>
      <c r="H26" s="18">
        <v>46069</v>
      </c>
    </row>
    <row r="27" spans="1:8" hidden="1" x14ac:dyDescent="0.25">
      <c r="A27" s="19" t="s">
        <v>416</v>
      </c>
      <c r="B27" s="7" t="s">
        <v>519</v>
      </c>
      <c r="C27" s="7" t="s">
        <v>528</v>
      </c>
      <c r="D27" s="7" t="s">
        <v>595</v>
      </c>
      <c r="E27" s="42"/>
      <c r="F27" s="42"/>
      <c r="G27" s="18">
        <v>46037</v>
      </c>
      <c r="H27" s="18">
        <v>46069</v>
      </c>
    </row>
    <row r="28" spans="1:8" hidden="1" x14ac:dyDescent="0.25">
      <c r="A28" s="7" t="s">
        <v>333</v>
      </c>
      <c r="B28" s="7" t="s">
        <v>506</v>
      </c>
      <c r="C28" s="7" t="s">
        <v>549</v>
      </c>
      <c r="D28" s="7" t="s">
        <v>586</v>
      </c>
      <c r="E28" s="42"/>
      <c r="F28" s="42"/>
      <c r="G28" s="18">
        <v>46037</v>
      </c>
      <c r="H28" s="18">
        <v>46069</v>
      </c>
    </row>
    <row r="29" spans="1:8" hidden="1" x14ac:dyDescent="0.25">
      <c r="A29" s="19" t="s">
        <v>446</v>
      </c>
      <c r="B29" s="7" t="s">
        <v>481</v>
      </c>
      <c r="C29" s="7" t="s">
        <v>523</v>
      </c>
      <c r="D29" s="7" t="s">
        <v>559</v>
      </c>
      <c r="E29" s="42"/>
      <c r="F29" s="42"/>
      <c r="G29" s="18">
        <v>46037</v>
      </c>
      <c r="H29" s="18">
        <v>46069</v>
      </c>
    </row>
    <row r="30" spans="1:8" x14ac:dyDescent="0.25">
      <c r="A30" s="7" t="s">
        <v>332</v>
      </c>
      <c r="B30" s="7" t="s">
        <v>504</v>
      </c>
      <c r="C30" s="7" t="s">
        <v>547</v>
      </c>
      <c r="D30" s="7" t="s">
        <v>581</v>
      </c>
      <c r="E30" s="42">
        <v>27</v>
      </c>
      <c r="F30" s="42">
        <v>8</v>
      </c>
      <c r="G30" s="18">
        <v>46037</v>
      </c>
      <c r="H30" s="18">
        <v>46069</v>
      </c>
    </row>
    <row r="31" spans="1:8" ht="15" customHeight="1" x14ac:dyDescent="0.25">
      <c r="A31" s="19" t="s">
        <v>450</v>
      </c>
      <c r="B31" s="7" t="s">
        <v>504</v>
      </c>
      <c r="C31" s="7" t="s">
        <v>504</v>
      </c>
      <c r="D31" s="7" t="s">
        <v>596</v>
      </c>
      <c r="E31" s="42">
        <v>4</v>
      </c>
      <c r="F31" s="42">
        <v>49</v>
      </c>
      <c r="G31" s="18">
        <v>46037</v>
      </c>
      <c r="H31" s="18">
        <v>46069</v>
      </c>
    </row>
    <row r="32" spans="1:8" hidden="1" x14ac:dyDescent="0.25">
      <c r="A32" s="19" t="s">
        <v>436</v>
      </c>
      <c r="B32" s="7" t="s">
        <v>514</v>
      </c>
      <c r="C32" s="7" t="s">
        <v>553</v>
      </c>
      <c r="D32" s="7" t="s">
        <v>591</v>
      </c>
      <c r="E32" s="42"/>
      <c r="F32" s="42"/>
      <c r="G32" s="18">
        <v>46037</v>
      </c>
      <c r="H32" s="18">
        <v>46069</v>
      </c>
    </row>
    <row r="33" spans="1:8" x14ac:dyDescent="0.25">
      <c r="A33" s="7" t="s">
        <v>327</v>
      </c>
      <c r="B33" s="7" t="s">
        <v>494</v>
      </c>
      <c r="C33" s="7" t="s">
        <v>537</v>
      </c>
      <c r="D33" s="7" t="s">
        <v>571</v>
      </c>
      <c r="E33" s="42">
        <v>6</v>
      </c>
      <c r="F33" s="42">
        <v>83.3</v>
      </c>
      <c r="G33" s="18">
        <v>46037</v>
      </c>
      <c r="H33" s="18">
        <v>46069</v>
      </c>
    </row>
    <row r="34" spans="1:8" x14ac:dyDescent="0.25">
      <c r="A34" s="7" t="s">
        <v>328</v>
      </c>
      <c r="B34" s="7" t="s">
        <v>494</v>
      </c>
      <c r="C34" s="7" t="s">
        <v>538</v>
      </c>
      <c r="D34" s="7" t="s">
        <v>572</v>
      </c>
      <c r="E34" s="42">
        <v>4</v>
      </c>
      <c r="F34" s="42">
        <v>78</v>
      </c>
      <c r="G34" s="18">
        <v>46037</v>
      </c>
      <c r="H34" s="18">
        <v>46069</v>
      </c>
    </row>
    <row r="35" spans="1:8" hidden="1" x14ac:dyDescent="0.25">
      <c r="A35" s="7" t="s">
        <v>348</v>
      </c>
      <c r="B35" s="7" t="s">
        <v>518</v>
      </c>
      <c r="C35" s="7" t="s">
        <v>518</v>
      </c>
      <c r="D35" s="7" t="s">
        <v>594</v>
      </c>
      <c r="E35" s="42"/>
      <c r="F35" s="42">
        <v>44</v>
      </c>
      <c r="G35" s="18">
        <v>46037</v>
      </c>
      <c r="H35" s="18">
        <v>46069</v>
      </c>
    </row>
    <row r="36" spans="1:8" ht="15" customHeight="1" x14ac:dyDescent="0.25">
      <c r="A36" s="7" t="s">
        <v>336</v>
      </c>
      <c r="B36" s="7" t="s">
        <v>511</v>
      </c>
      <c r="C36" s="7" t="s">
        <v>511</v>
      </c>
      <c r="D36" s="7" t="s">
        <v>589</v>
      </c>
      <c r="E36" s="42">
        <v>6</v>
      </c>
      <c r="F36" s="42">
        <v>30</v>
      </c>
      <c r="G36" s="18">
        <v>46037</v>
      </c>
      <c r="H36" s="18">
        <v>46069</v>
      </c>
    </row>
    <row r="37" spans="1:8" ht="14.25" customHeight="1" x14ac:dyDescent="0.25">
      <c r="A37" s="7" t="s">
        <v>265</v>
      </c>
      <c r="B37" s="7" t="s">
        <v>492</v>
      </c>
      <c r="C37" s="7" t="s">
        <v>535</v>
      </c>
      <c r="D37" s="7" t="s">
        <v>569</v>
      </c>
      <c r="E37" s="42">
        <v>2.4500000000000002</v>
      </c>
      <c r="F37" s="42">
        <v>43.3</v>
      </c>
      <c r="G37" s="18">
        <v>46037</v>
      </c>
      <c r="H37" s="18">
        <v>46069</v>
      </c>
    </row>
    <row r="38" spans="1:8" ht="14.25" hidden="1" customHeight="1" x14ac:dyDescent="0.25">
      <c r="A38" s="7" t="s">
        <v>792</v>
      </c>
      <c r="B38" s="7" t="s">
        <v>793</v>
      </c>
      <c r="C38" s="7" t="s">
        <v>794</v>
      </c>
      <c r="D38" s="7" t="s">
        <v>795</v>
      </c>
      <c r="E38" s="42"/>
      <c r="F38" s="42">
        <v>24</v>
      </c>
      <c r="G38" s="18">
        <v>46037</v>
      </c>
      <c r="H38" s="18">
        <v>46069</v>
      </c>
    </row>
    <row r="39" spans="1:8" hidden="1" x14ac:dyDescent="0.25">
      <c r="A39" s="7" t="s">
        <v>399</v>
      </c>
      <c r="B39" s="7" t="s">
        <v>480</v>
      </c>
      <c r="C39" s="7" t="s">
        <v>522</v>
      </c>
      <c r="D39" s="7" t="s">
        <v>558</v>
      </c>
      <c r="E39" s="42"/>
      <c r="F39" s="42"/>
      <c r="G39" s="18">
        <v>46037</v>
      </c>
      <c r="H39" s="18">
        <v>46069</v>
      </c>
    </row>
    <row r="40" spans="1:8" hidden="1" x14ac:dyDescent="0.25">
      <c r="A40" s="7" t="s">
        <v>367</v>
      </c>
      <c r="B40" s="7" t="s">
        <v>480</v>
      </c>
      <c r="C40" s="7" t="s">
        <v>542</v>
      </c>
      <c r="D40" s="7" t="s">
        <v>578</v>
      </c>
      <c r="E40" s="42"/>
      <c r="F40" s="42"/>
      <c r="G40" s="18">
        <v>46037</v>
      </c>
      <c r="H40" s="18">
        <v>46069</v>
      </c>
    </row>
    <row r="41" spans="1:8" x14ac:dyDescent="0.25">
      <c r="A41" s="7" t="s">
        <v>330</v>
      </c>
      <c r="B41" s="7" t="s">
        <v>503</v>
      </c>
      <c r="C41" s="7" t="s">
        <v>546</v>
      </c>
      <c r="D41" s="7" t="s">
        <v>582</v>
      </c>
      <c r="E41" s="42">
        <v>3</v>
      </c>
      <c r="F41" s="42">
        <v>45</v>
      </c>
      <c r="G41" s="18">
        <v>46037</v>
      </c>
      <c r="H41" s="18">
        <v>46069</v>
      </c>
    </row>
    <row r="42" spans="1:8" hidden="1" x14ac:dyDescent="0.25">
      <c r="A42" s="19" t="s">
        <v>711</v>
      </c>
      <c r="B42" s="19" t="s">
        <v>712</v>
      </c>
      <c r="C42" s="19" t="s">
        <v>713</v>
      </c>
      <c r="D42" s="19" t="s">
        <v>714</v>
      </c>
      <c r="E42" s="42"/>
      <c r="F42" s="42"/>
      <c r="G42" s="18">
        <v>46037</v>
      </c>
      <c r="H42" s="18">
        <v>46069</v>
      </c>
    </row>
    <row r="43" spans="1:8" x14ac:dyDescent="0.25">
      <c r="A43" s="19" t="s">
        <v>448</v>
      </c>
      <c r="B43" s="7" t="s">
        <v>603</v>
      </c>
      <c r="C43" s="7" t="s">
        <v>555</v>
      </c>
      <c r="D43" s="7" t="s">
        <v>516</v>
      </c>
      <c r="E43" s="42">
        <v>32</v>
      </c>
      <c r="F43" s="42">
        <v>56</v>
      </c>
      <c r="G43" s="18">
        <v>46037</v>
      </c>
      <c r="H43" s="18">
        <v>46069</v>
      </c>
    </row>
    <row r="44" spans="1:8" hidden="1" x14ac:dyDescent="0.25">
      <c r="A44" s="7" t="s">
        <v>320</v>
      </c>
      <c r="B44" s="7" t="s">
        <v>482</v>
      </c>
      <c r="C44" s="7" t="s">
        <v>524</v>
      </c>
      <c r="D44" s="7" t="s">
        <v>561</v>
      </c>
      <c r="E44" s="42">
        <v>15</v>
      </c>
      <c r="F44" s="42"/>
      <c r="G44" s="18">
        <v>46037</v>
      </c>
      <c r="H44" s="18">
        <v>46069</v>
      </c>
    </row>
    <row r="45" spans="1:8" x14ac:dyDescent="0.25">
      <c r="A45" s="19" t="s">
        <v>715</v>
      </c>
      <c r="B45" s="19" t="s">
        <v>716</v>
      </c>
      <c r="C45" s="19" t="s">
        <v>717</v>
      </c>
      <c r="D45" s="19" t="s">
        <v>718</v>
      </c>
      <c r="E45" s="42">
        <v>3</v>
      </c>
      <c r="F45" s="42">
        <v>3.2</v>
      </c>
      <c r="G45" s="18">
        <v>46037</v>
      </c>
      <c r="H45" s="18">
        <v>46069</v>
      </c>
    </row>
    <row r="46" spans="1:8" hidden="1" x14ac:dyDescent="0.25">
      <c r="A46" s="7" t="s">
        <v>474</v>
      </c>
      <c r="B46" s="7" t="s">
        <v>613</v>
      </c>
      <c r="C46" s="7" t="s">
        <v>614</v>
      </c>
      <c r="D46" s="7" t="s">
        <v>615</v>
      </c>
      <c r="E46" s="42"/>
      <c r="F46" s="42"/>
      <c r="G46" s="18">
        <v>46037</v>
      </c>
      <c r="H46" s="18">
        <v>46069</v>
      </c>
    </row>
    <row r="47" spans="1:8" hidden="1" x14ac:dyDescent="0.25">
      <c r="A47" s="19" t="s">
        <v>451</v>
      </c>
      <c r="B47" s="7" t="s">
        <v>510</v>
      </c>
      <c r="C47" s="7" t="s">
        <v>551</v>
      </c>
      <c r="D47" s="7" t="s">
        <v>588</v>
      </c>
      <c r="E47" s="42"/>
      <c r="F47" s="42"/>
      <c r="G47" s="18">
        <v>46037</v>
      </c>
      <c r="H47" s="18">
        <v>46069</v>
      </c>
    </row>
    <row r="48" spans="1:8" hidden="1" x14ac:dyDescent="0.25">
      <c r="A48" s="7" t="s">
        <v>329</v>
      </c>
      <c r="B48" s="7" t="s">
        <v>497</v>
      </c>
      <c r="C48" s="7" t="s">
        <v>540</v>
      </c>
      <c r="D48" s="7" t="s">
        <v>575</v>
      </c>
      <c r="E48" s="42"/>
      <c r="F48" s="42">
        <v>24.3</v>
      </c>
      <c r="G48" s="18">
        <v>46037</v>
      </c>
      <c r="H48" s="18">
        <v>46069</v>
      </c>
    </row>
    <row r="49" spans="1:9" hidden="1" x14ac:dyDescent="0.25">
      <c r="A49" s="7" t="s">
        <v>323</v>
      </c>
      <c r="B49" s="7" t="s">
        <v>485</v>
      </c>
      <c r="C49" s="7" t="s">
        <v>527</v>
      </c>
      <c r="D49" s="7" t="s">
        <v>563</v>
      </c>
      <c r="E49" s="42"/>
      <c r="F49" s="42">
        <v>24</v>
      </c>
      <c r="G49" s="18">
        <v>46037</v>
      </c>
      <c r="H49" s="18">
        <v>46069</v>
      </c>
    </row>
    <row r="50" spans="1:9" x14ac:dyDescent="0.25">
      <c r="A50" s="7" t="s">
        <v>382</v>
      </c>
      <c r="B50" s="7" t="s">
        <v>532</v>
      </c>
      <c r="C50" s="7" t="s">
        <v>619</v>
      </c>
      <c r="D50" s="7" t="s">
        <v>490</v>
      </c>
      <c r="E50" s="42">
        <v>6.05</v>
      </c>
      <c r="F50" s="42">
        <v>1.4</v>
      </c>
      <c r="G50" s="18">
        <v>46037</v>
      </c>
      <c r="H50" s="18">
        <v>46069</v>
      </c>
    </row>
    <row r="51" spans="1:9" hidden="1" x14ac:dyDescent="0.25">
      <c r="A51" s="7" t="s">
        <v>337</v>
      </c>
      <c r="B51" s="7" t="s">
        <v>512</v>
      </c>
      <c r="C51" s="7" t="s">
        <v>552</v>
      </c>
      <c r="D51" s="7" t="s">
        <v>590</v>
      </c>
      <c r="E51" s="42"/>
      <c r="F51" s="42">
        <v>128</v>
      </c>
      <c r="G51" s="18">
        <v>46037</v>
      </c>
      <c r="H51" s="18">
        <v>46069</v>
      </c>
    </row>
    <row r="52" spans="1:9" x14ac:dyDescent="0.25">
      <c r="A52" s="7" t="s">
        <v>349</v>
      </c>
      <c r="B52" s="7" t="s">
        <v>498</v>
      </c>
      <c r="C52" s="7" t="s">
        <v>531</v>
      </c>
      <c r="D52" s="7" t="s">
        <v>576</v>
      </c>
      <c r="E52" s="42">
        <v>12</v>
      </c>
      <c r="F52" s="42">
        <v>72.3</v>
      </c>
      <c r="G52" s="18">
        <v>46037</v>
      </c>
      <c r="H52" s="18">
        <v>46069</v>
      </c>
      <c r="I52" s="5"/>
    </row>
    <row r="53" spans="1:9" ht="15.75" hidden="1" customHeight="1" x14ac:dyDescent="0.25">
      <c r="A53" s="19" t="s">
        <v>367</v>
      </c>
      <c r="B53" s="7" t="s">
        <v>500</v>
      </c>
      <c r="C53" s="7" t="s">
        <v>543</v>
      </c>
      <c r="D53" s="7" t="s">
        <v>579</v>
      </c>
      <c r="E53" s="42"/>
      <c r="F53" s="42"/>
      <c r="G53" s="18">
        <v>46037</v>
      </c>
      <c r="H53" s="18">
        <v>46069</v>
      </c>
      <c r="I53" s="23"/>
    </row>
    <row r="54" spans="1:9" ht="15.75" hidden="1" customHeight="1" x14ac:dyDescent="0.25">
      <c r="A54" s="19" t="s">
        <v>435</v>
      </c>
      <c r="B54" s="7" t="s">
        <v>616</v>
      </c>
      <c r="C54" s="7" t="s">
        <v>617</v>
      </c>
      <c r="D54" s="7" t="s">
        <v>618</v>
      </c>
      <c r="E54" s="42"/>
      <c r="F54" s="42">
        <v>38</v>
      </c>
      <c r="G54" s="18">
        <v>46037</v>
      </c>
      <c r="H54" s="18">
        <v>46069</v>
      </c>
      <c r="I54" s="23"/>
    </row>
    <row r="55" spans="1:9" hidden="1" x14ac:dyDescent="0.25">
      <c r="A55" s="7" t="s">
        <v>339</v>
      </c>
      <c r="B55" s="7" t="s">
        <v>515</v>
      </c>
      <c r="C55" s="7" t="s">
        <v>554</v>
      </c>
      <c r="D55" s="7" t="s">
        <v>592</v>
      </c>
      <c r="E55" s="42"/>
      <c r="F55" s="42"/>
      <c r="G55" s="18">
        <v>46037</v>
      </c>
      <c r="H55" s="18">
        <v>46069</v>
      </c>
      <c r="I55" s="5"/>
    </row>
    <row r="56" spans="1:9" x14ac:dyDescent="0.25">
      <c r="A56" s="19" t="s">
        <v>415</v>
      </c>
      <c r="B56" s="7" t="s">
        <v>501</v>
      </c>
      <c r="C56" s="7" t="s">
        <v>544</v>
      </c>
      <c r="D56" s="7" t="s">
        <v>580</v>
      </c>
      <c r="E56" s="42">
        <v>6</v>
      </c>
      <c r="F56" s="42">
        <v>48</v>
      </c>
      <c r="G56" s="18">
        <v>46037</v>
      </c>
      <c r="H56" s="18">
        <v>46069</v>
      </c>
    </row>
    <row r="57" spans="1:9" hidden="1" x14ac:dyDescent="0.25">
      <c r="A57" s="19" t="s">
        <v>449</v>
      </c>
      <c r="B57" s="7" t="s">
        <v>517</v>
      </c>
      <c r="C57" s="7" t="s">
        <v>556</v>
      </c>
      <c r="D57" s="7" t="s">
        <v>593</v>
      </c>
      <c r="E57" s="42"/>
      <c r="F57" s="42"/>
      <c r="G57" s="18">
        <v>46037</v>
      </c>
      <c r="H57" s="18">
        <v>46069</v>
      </c>
    </row>
    <row r="58" spans="1:9" hidden="1" x14ac:dyDescent="0.25">
      <c r="A58" s="19" t="s">
        <v>461</v>
      </c>
      <c r="B58" s="7" t="s">
        <v>605</v>
      </c>
      <c r="C58" s="7" t="s">
        <v>606</v>
      </c>
      <c r="D58" s="7" t="s">
        <v>533</v>
      </c>
      <c r="E58" s="42"/>
      <c r="F58" s="42"/>
      <c r="G58" s="18">
        <v>46037</v>
      </c>
      <c r="H58" s="18">
        <v>46069</v>
      </c>
    </row>
    <row r="59" spans="1:9" hidden="1" x14ac:dyDescent="0.25">
      <c r="A59" s="7" t="s">
        <v>366</v>
      </c>
      <c r="B59" s="7" t="s">
        <v>479</v>
      </c>
      <c r="C59" s="7" t="s">
        <v>521</v>
      </c>
      <c r="D59" s="7" t="s">
        <v>557</v>
      </c>
      <c r="E59" s="42"/>
      <c r="F59" s="42"/>
      <c r="G59" s="18">
        <v>46037</v>
      </c>
      <c r="H59" s="18">
        <v>46069</v>
      </c>
    </row>
    <row r="60" spans="1:9" ht="15.75" thickBot="1" x14ac:dyDescent="0.3">
      <c r="A60" s="5"/>
      <c r="B60" s="10"/>
      <c r="C60" s="10"/>
      <c r="D60" s="10"/>
      <c r="E60" s="24">
        <f>SUM(E4:E59)</f>
        <v>259.39999999999998</v>
      </c>
      <c r="F60" s="24">
        <f>SUM(F4:F59)</f>
        <v>1338.4</v>
      </c>
      <c r="G60" s="84"/>
      <c r="H60" s="85"/>
    </row>
    <row r="61" spans="1:9" x14ac:dyDescent="0.25">
      <c r="B61"/>
      <c r="C61"/>
      <c r="D61"/>
      <c r="E61"/>
    </row>
    <row r="62" spans="1:9" x14ac:dyDescent="0.25">
      <c r="B62"/>
      <c r="C62"/>
      <c r="D62"/>
      <c r="E62"/>
    </row>
    <row r="63" spans="1:9" x14ac:dyDescent="0.25">
      <c r="B63"/>
      <c r="C63"/>
      <c r="D63"/>
      <c r="E63"/>
    </row>
    <row r="64" spans="1:9" x14ac:dyDescent="0.25">
      <c r="B64"/>
      <c r="C64"/>
      <c r="D64"/>
      <c r="E64"/>
    </row>
    <row r="65" customFormat="1" x14ac:dyDescent="0.25"/>
  </sheetData>
  <autoFilter ref="A3:H60" xr:uid="{00000000-0009-0000-0000-00000D000000}">
    <filterColumn colId="4">
      <customFilters>
        <customFilter operator="notEqual" val=" "/>
      </customFilters>
    </filterColumn>
    <filterColumn colId="5">
      <customFilters>
        <customFilter operator="notEqual" val=" "/>
      </customFilters>
    </filterColumn>
  </autoFilter>
  <sortState xmlns:xlrd2="http://schemas.microsoft.com/office/spreadsheetml/2017/richdata2" ref="A4:H56">
    <sortCondition ref="B4:B56"/>
  </sortState>
  <mergeCells count="2">
    <mergeCell ref="G60:H60"/>
    <mergeCell ref="A2:H2"/>
  </mergeCells>
  <phoneticPr fontId="11" type="noConversion"/>
  <pageMargins left="1.8897637795275593" right="0" top="0.59055118110236227" bottom="0.98425196850393704" header="0.31496062992125984" footer="0.31496062992125984"/>
  <pageSetup paperSize="5" orientation="landscape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filterMode="1">
    <tabColor theme="4"/>
  </sheetPr>
  <dimension ref="A1:O77"/>
  <sheetViews>
    <sheetView workbookViewId="0">
      <pane xSplit="1" topLeftCell="B1" activePane="topRight" state="frozen"/>
      <selection pane="topRight" activeCell="T9" sqref="T9"/>
    </sheetView>
  </sheetViews>
  <sheetFormatPr baseColWidth="10" defaultRowHeight="15" x14ac:dyDescent="0.25"/>
  <cols>
    <col min="2" max="2" width="31.140625" customWidth="1"/>
    <col min="3" max="3" width="7.7109375" customWidth="1"/>
    <col min="4" max="4" width="8.28515625" customWidth="1"/>
    <col min="5" max="5" width="8.7109375" customWidth="1"/>
    <col min="6" max="6" width="9.42578125" customWidth="1"/>
    <col min="7" max="7" width="8.7109375" style="1" customWidth="1"/>
    <col min="8" max="8" width="10.85546875" style="1" customWidth="1"/>
    <col min="9" max="9" width="9.85546875" style="1" customWidth="1"/>
    <col min="10" max="10" width="8.7109375" style="1" customWidth="1"/>
    <col min="11" max="11" width="10.42578125" style="1" customWidth="1"/>
    <col min="12" max="12" width="9.7109375" style="1" customWidth="1"/>
    <col min="13" max="13" width="8.28515625" style="1" customWidth="1"/>
    <col min="14" max="14" width="9.85546875" style="1" customWidth="1"/>
    <col min="15" max="15" width="12.85546875" customWidth="1"/>
    <col min="258" max="258" width="30.28515625" customWidth="1"/>
    <col min="259" max="259" width="10.42578125" customWidth="1"/>
    <col min="262" max="262" width="10.28515625" customWidth="1"/>
    <col min="263" max="263" width="9.5703125" customWidth="1"/>
    <col min="264" max="264" width="13.140625" customWidth="1"/>
    <col min="265" max="265" width="9.85546875" customWidth="1"/>
    <col min="266" max="266" width="9.140625" customWidth="1"/>
    <col min="267" max="268" width="13.85546875" customWidth="1"/>
    <col min="269" max="269" width="10.5703125" customWidth="1"/>
    <col min="270" max="270" width="15.140625" customWidth="1"/>
    <col min="271" max="271" width="20.42578125" customWidth="1"/>
    <col min="514" max="514" width="30.28515625" customWidth="1"/>
    <col min="515" max="515" width="10.42578125" customWidth="1"/>
    <col min="518" max="518" width="10.28515625" customWidth="1"/>
    <col min="519" max="519" width="9.5703125" customWidth="1"/>
    <col min="520" max="520" width="13.140625" customWidth="1"/>
    <col min="521" max="521" width="9.85546875" customWidth="1"/>
    <col min="522" max="522" width="9.140625" customWidth="1"/>
    <col min="523" max="524" width="13.85546875" customWidth="1"/>
    <col min="525" max="525" width="10.5703125" customWidth="1"/>
    <col min="526" max="526" width="15.140625" customWidth="1"/>
    <col min="527" max="527" width="20.42578125" customWidth="1"/>
    <col min="770" max="770" width="30.28515625" customWidth="1"/>
    <col min="771" max="771" width="10.42578125" customWidth="1"/>
    <col min="774" max="774" width="10.28515625" customWidth="1"/>
    <col min="775" max="775" width="9.5703125" customWidth="1"/>
    <col min="776" max="776" width="13.140625" customWidth="1"/>
    <col min="777" max="777" width="9.85546875" customWidth="1"/>
    <col min="778" max="778" width="9.140625" customWidth="1"/>
    <col min="779" max="780" width="13.85546875" customWidth="1"/>
    <col min="781" max="781" width="10.5703125" customWidth="1"/>
    <col min="782" max="782" width="15.140625" customWidth="1"/>
    <col min="783" max="783" width="20.42578125" customWidth="1"/>
    <col min="1026" max="1026" width="30.28515625" customWidth="1"/>
    <col min="1027" max="1027" width="10.42578125" customWidth="1"/>
    <col min="1030" max="1030" width="10.28515625" customWidth="1"/>
    <col min="1031" max="1031" width="9.5703125" customWidth="1"/>
    <col min="1032" max="1032" width="13.140625" customWidth="1"/>
    <col min="1033" max="1033" width="9.85546875" customWidth="1"/>
    <col min="1034" max="1034" width="9.140625" customWidth="1"/>
    <col min="1035" max="1036" width="13.85546875" customWidth="1"/>
    <col min="1037" max="1037" width="10.5703125" customWidth="1"/>
    <col min="1038" max="1038" width="15.140625" customWidth="1"/>
    <col min="1039" max="1039" width="20.42578125" customWidth="1"/>
    <col min="1282" max="1282" width="30.28515625" customWidth="1"/>
    <col min="1283" max="1283" width="10.42578125" customWidth="1"/>
    <col min="1286" max="1286" width="10.28515625" customWidth="1"/>
    <col min="1287" max="1287" width="9.5703125" customWidth="1"/>
    <col min="1288" max="1288" width="13.140625" customWidth="1"/>
    <col min="1289" max="1289" width="9.85546875" customWidth="1"/>
    <col min="1290" max="1290" width="9.140625" customWidth="1"/>
    <col min="1291" max="1292" width="13.85546875" customWidth="1"/>
    <col min="1293" max="1293" width="10.5703125" customWidth="1"/>
    <col min="1294" max="1294" width="15.140625" customWidth="1"/>
    <col min="1295" max="1295" width="20.42578125" customWidth="1"/>
    <col min="1538" max="1538" width="30.28515625" customWidth="1"/>
    <col min="1539" max="1539" width="10.42578125" customWidth="1"/>
    <col min="1542" max="1542" width="10.28515625" customWidth="1"/>
    <col min="1543" max="1543" width="9.5703125" customWidth="1"/>
    <col min="1544" max="1544" width="13.140625" customWidth="1"/>
    <col min="1545" max="1545" width="9.85546875" customWidth="1"/>
    <col min="1546" max="1546" width="9.140625" customWidth="1"/>
    <col min="1547" max="1548" width="13.85546875" customWidth="1"/>
    <col min="1549" max="1549" width="10.5703125" customWidth="1"/>
    <col min="1550" max="1550" width="15.140625" customWidth="1"/>
    <col min="1551" max="1551" width="20.42578125" customWidth="1"/>
    <col min="1794" max="1794" width="30.28515625" customWidth="1"/>
    <col min="1795" max="1795" width="10.42578125" customWidth="1"/>
    <col min="1798" max="1798" width="10.28515625" customWidth="1"/>
    <col min="1799" max="1799" width="9.5703125" customWidth="1"/>
    <col min="1800" max="1800" width="13.140625" customWidth="1"/>
    <col min="1801" max="1801" width="9.85546875" customWidth="1"/>
    <col min="1802" max="1802" width="9.140625" customWidth="1"/>
    <col min="1803" max="1804" width="13.85546875" customWidth="1"/>
    <col min="1805" max="1805" width="10.5703125" customWidth="1"/>
    <col min="1806" max="1806" width="15.140625" customWidth="1"/>
    <col min="1807" max="1807" width="20.42578125" customWidth="1"/>
    <col min="2050" max="2050" width="30.28515625" customWidth="1"/>
    <col min="2051" max="2051" width="10.42578125" customWidth="1"/>
    <col min="2054" max="2054" width="10.28515625" customWidth="1"/>
    <col min="2055" max="2055" width="9.5703125" customWidth="1"/>
    <col min="2056" max="2056" width="13.140625" customWidth="1"/>
    <col min="2057" max="2057" width="9.85546875" customWidth="1"/>
    <col min="2058" max="2058" width="9.140625" customWidth="1"/>
    <col min="2059" max="2060" width="13.85546875" customWidth="1"/>
    <col min="2061" max="2061" width="10.5703125" customWidth="1"/>
    <col min="2062" max="2062" width="15.140625" customWidth="1"/>
    <col min="2063" max="2063" width="20.42578125" customWidth="1"/>
    <col min="2306" max="2306" width="30.28515625" customWidth="1"/>
    <col min="2307" max="2307" width="10.42578125" customWidth="1"/>
    <col min="2310" max="2310" width="10.28515625" customWidth="1"/>
    <col min="2311" max="2311" width="9.5703125" customWidth="1"/>
    <col min="2312" max="2312" width="13.140625" customWidth="1"/>
    <col min="2313" max="2313" width="9.85546875" customWidth="1"/>
    <col min="2314" max="2314" width="9.140625" customWidth="1"/>
    <col min="2315" max="2316" width="13.85546875" customWidth="1"/>
    <col min="2317" max="2317" width="10.5703125" customWidth="1"/>
    <col min="2318" max="2318" width="15.140625" customWidth="1"/>
    <col min="2319" max="2319" width="20.42578125" customWidth="1"/>
    <col min="2562" max="2562" width="30.28515625" customWidth="1"/>
    <col min="2563" max="2563" width="10.42578125" customWidth="1"/>
    <col min="2566" max="2566" width="10.28515625" customWidth="1"/>
    <col min="2567" max="2567" width="9.5703125" customWidth="1"/>
    <col min="2568" max="2568" width="13.140625" customWidth="1"/>
    <col min="2569" max="2569" width="9.85546875" customWidth="1"/>
    <col min="2570" max="2570" width="9.140625" customWidth="1"/>
    <col min="2571" max="2572" width="13.85546875" customWidth="1"/>
    <col min="2573" max="2573" width="10.5703125" customWidth="1"/>
    <col min="2574" max="2574" width="15.140625" customWidth="1"/>
    <col min="2575" max="2575" width="20.42578125" customWidth="1"/>
    <col min="2818" max="2818" width="30.28515625" customWidth="1"/>
    <col min="2819" max="2819" width="10.42578125" customWidth="1"/>
    <col min="2822" max="2822" width="10.28515625" customWidth="1"/>
    <col min="2823" max="2823" width="9.5703125" customWidth="1"/>
    <col min="2824" max="2824" width="13.140625" customWidth="1"/>
    <col min="2825" max="2825" width="9.85546875" customWidth="1"/>
    <col min="2826" max="2826" width="9.140625" customWidth="1"/>
    <col min="2827" max="2828" width="13.85546875" customWidth="1"/>
    <col min="2829" max="2829" width="10.5703125" customWidth="1"/>
    <col min="2830" max="2830" width="15.140625" customWidth="1"/>
    <col min="2831" max="2831" width="20.42578125" customWidth="1"/>
    <col min="3074" max="3074" width="30.28515625" customWidth="1"/>
    <col min="3075" max="3075" width="10.42578125" customWidth="1"/>
    <col min="3078" max="3078" width="10.28515625" customWidth="1"/>
    <col min="3079" max="3079" width="9.5703125" customWidth="1"/>
    <col min="3080" max="3080" width="13.140625" customWidth="1"/>
    <col min="3081" max="3081" width="9.85546875" customWidth="1"/>
    <col min="3082" max="3082" width="9.140625" customWidth="1"/>
    <col min="3083" max="3084" width="13.85546875" customWidth="1"/>
    <col min="3085" max="3085" width="10.5703125" customWidth="1"/>
    <col min="3086" max="3086" width="15.140625" customWidth="1"/>
    <col min="3087" max="3087" width="20.42578125" customWidth="1"/>
    <col min="3330" max="3330" width="30.28515625" customWidth="1"/>
    <col min="3331" max="3331" width="10.42578125" customWidth="1"/>
    <col min="3334" max="3334" width="10.28515625" customWidth="1"/>
    <col min="3335" max="3335" width="9.5703125" customWidth="1"/>
    <col min="3336" max="3336" width="13.140625" customWidth="1"/>
    <col min="3337" max="3337" width="9.85546875" customWidth="1"/>
    <col min="3338" max="3338" width="9.140625" customWidth="1"/>
    <col min="3339" max="3340" width="13.85546875" customWidth="1"/>
    <col min="3341" max="3341" width="10.5703125" customWidth="1"/>
    <col min="3342" max="3342" width="15.140625" customWidth="1"/>
    <col min="3343" max="3343" width="20.42578125" customWidth="1"/>
    <col min="3586" max="3586" width="30.28515625" customWidth="1"/>
    <col min="3587" max="3587" width="10.42578125" customWidth="1"/>
    <col min="3590" max="3590" width="10.28515625" customWidth="1"/>
    <col min="3591" max="3591" width="9.5703125" customWidth="1"/>
    <col min="3592" max="3592" width="13.140625" customWidth="1"/>
    <col min="3593" max="3593" width="9.85546875" customWidth="1"/>
    <col min="3594" max="3594" width="9.140625" customWidth="1"/>
    <col min="3595" max="3596" width="13.85546875" customWidth="1"/>
    <col min="3597" max="3597" width="10.5703125" customWidth="1"/>
    <col min="3598" max="3598" width="15.140625" customWidth="1"/>
    <col min="3599" max="3599" width="20.42578125" customWidth="1"/>
    <col min="3842" max="3842" width="30.28515625" customWidth="1"/>
    <col min="3843" max="3843" width="10.42578125" customWidth="1"/>
    <col min="3846" max="3846" width="10.28515625" customWidth="1"/>
    <col min="3847" max="3847" width="9.5703125" customWidth="1"/>
    <col min="3848" max="3848" width="13.140625" customWidth="1"/>
    <col min="3849" max="3849" width="9.85546875" customWidth="1"/>
    <col min="3850" max="3850" width="9.140625" customWidth="1"/>
    <col min="3851" max="3852" width="13.85546875" customWidth="1"/>
    <col min="3853" max="3853" width="10.5703125" customWidth="1"/>
    <col min="3854" max="3854" width="15.140625" customWidth="1"/>
    <col min="3855" max="3855" width="20.42578125" customWidth="1"/>
    <col min="4098" max="4098" width="30.28515625" customWidth="1"/>
    <col min="4099" max="4099" width="10.42578125" customWidth="1"/>
    <col min="4102" max="4102" width="10.28515625" customWidth="1"/>
    <col min="4103" max="4103" width="9.5703125" customWidth="1"/>
    <col min="4104" max="4104" width="13.140625" customWidth="1"/>
    <col min="4105" max="4105" width="9.85546875" customWidth="1"/>
    <col min="4106" max="4106" width="9.140625" customWidth="1"/>
    <col min="4107" max="4108" width="13.85546875" customWidth="1"/>
    <col min="4109" max="4109" width="10.5703125" customWidth="1"/>
    <col min="4110" max="4110" width="15.140625" customWidth="1"/>
    <col min="4111" max="4111" width="20.42578125" customWidth="1"/>
    <col min="4354" max="4354" width="30.28515625" customWidth="1"/>
    <col min="4355" max="4355" width="10.42578125" customWidth="1"/>
    <col min="4358" max="4358" width="10.28515625" customWidth="1"/>
    <col min="4359" max="4359" width="9.5703125" customWidth="1"/>
    <col min="4360" max="4360" width="13.140625" customWidth="1"/>
    <col min="4361" max="4361" width="9.85546875" customWidth="1"/>
    <col min="4362" max="4362" width="9.140625" customWidth="1"/>
    <col min="4363" max="4364" width="13.85546875" customWidth="1"/>
    <col min="4365" max="4365" width="10.5703125" customWidth="1"/>
    <col min="4366" max="4366" width="15.140625" customWidth="1"/>
    <col min="4367" max="4367" width="20.42578125" customWidth="1"/>
    <col min="4610" max="4610" width="30.28515625" customWidth="1"/>
    <col min="4611" max="4611" width="10.42578125" customWidth="1"/>
    <col min="4614" max="4614" width="10.28515625" customWidth="1"/>
    <col min="4615" max="4615" width="9.5703125" customWidth="1"/>
    <col min="4616" max="4616" width="13.140625" customWidth="1"/>
    <col min="4617" max="4617" width="9.85546875" customWidth="1"/>
    <col min="4618" max="4618" width="9.140625" customWidth="1"/>
    <col min="4619" max="4620" width="13.85546875" customWidth="1"/>
    <col min="4621" max="4621" width="10.5703125" customWidth="1"/>
    <col min="4622" max="4622" width="15.140625" customWidth="1"/>
    <col min="4623" max="4623" width="20.42578125" customWidth="1"/>
    <col min="4866" max="4866" width="30.28515625" customWidth="1"/>
    <col min="4867" max="4867" width="10.42578125" customWidth="1"/>
    <col min="4870" max="4870" width="10.28515625" customWidth="1"/>
    <col min="4871" max="4871" width="9.5703125" customWidth="1"/>
    <col min="4872" max="4872" width="13.140625" customWidth="1"/>
    <col min="4873" max="4873" width="9.85546875" customWidth="1"/>
    <col min="4874" max="4874" width="9.140625" customWidth="1"/>
    <col min="4875" max="4876" width="13.85546875" customWidth="1"/>
    <col min="4877" max="4877" width="10.5703125" customWidth="1"/>
    <col min="4878" max="4878" width="15.140625" customWidth="1"/>
    <col min="4879" max="4879" width="20.42578125" customWidth="1"/>
    <col min="5122" max="5122" width="30.28515625" customWidth="1"/>
    <col min="5123" max="5123" width="10.42578125" customWidth="1"/>
    <col min="5126" max="5126" width="10.28515625" customWidth="1"/>
    <col min="5127" max="5127" width="9.5703125" customWidth="1"/>
    <col min="5128" max="5128" width="13.140625" customWidth="1"/>
    <col min="5129" max="5129" width="9.85546875" customWidth="1"/>
    <col min="5130" max="5130" width="9.140625" customWidth="1"/>
    <col min="5131" max="5132" width="13.85546875" customWidth="1"/>
    <col min="5133" max="5133" width="10.5703125" customWidth="1"/>
    <col min="5134" max="5134" width="15.140625" customWidth="1"/>
    <col min="5135" max="5135" width="20.42578125" customWidth="1"/>
    <col min="5378" max="5378" width="30.28515625" customWidth="1"/>
    <col min="5379" max="5379" width="10.42578125" customWidth="1"/>
    <col min="5382" max="5382" width="10.28515625" customWidth="1"/>
    <col min="5383" max="5383" width="9.5703125" customWidth="1"/>
    <col min="5384" max="5384" width="13.140625" customWidth="1"/>
    <col min="5385" max="5385" width="9.85546875" customWidth="1"/>
    <col min="5386" max="5386" width="9.140625" customWidth="1"/>
    <col min="5387" max="5388" width="13.85546875" customWidth="1"/>
    <col min="5389" max="5389" width="10.5703125" customWidth="1"/>
    <col min="5390" max="5390" width="15.140625" customWidth="1"/>
    <col min="5391" max="5391" width="20.42578125" customWidth="1"/>
    <col min="5634" max="5634" width="30.28515625" customWidth="1"/>
    <col min="5635" max="5635" width="10.42578125" customWidth="1"/>
    <col min="5638" max="5638" width="10.28515625" customWidth="1"/>
    <col min="5639" max="5639" width="9.5703125" customWidth="1"/>
    <col min="5640" max="5640" width="13.140625" customWidth="1"/>
    <col min="5641" max="5641" width="9.85546875" customWidth="1"/>
    <col min="5642" max="5642" width="9.140625" customWidth="1"/>
    <col min="5643" max="5644" width="13.85546875" customWidth="1"/>
    <col min="5645" max="5645" width="10.5703125" customWidth="1"/>
    <col min="5646" max="5646" width="15.140625" customWidth="1"/>
    <col min="5647" max="5647" width="20.42578125" customWidth="1"/>
    <col min="5890" max="5890" width="30.28515625" customWidth="1"/>
    <col min="5891" max="5891" width="10.42578125" customWidth="1"/>
    <col min="5894" max="5894" width="10.28515625" customWidth="1"/>
    <col min="5895" max="5895" width="9.5703125" customWidth="1"/>
    <col min="5896" max="5896" width="13.140625" customWidth="1"/>
    <col min="5897" max="5897" width="9.85546875" customWidth="1"/>
    <col min="5898" max="5898" width="9.140625" customWidth="1"/>
    <col min="5899" max="5900" width="13.85546875" customWidth="1"/>
    <col min="5901" max="5901" width="10.5703125" customWidth="1"/>
    <col min="5902" max="5902" width="15.140625" customWidth="1"/>
    <col min="5903" max="5903" width="20.42578125" customWidth="1"/>
    <col min="6146" max="6146" width="30.28515625" customWidth="1"/>
    <col min="6147" max="6147" width="10.42578125" customWidth="1"/>
    <col min="6150" max="6150" width="10.28515625" customWidth="1"/>
    <col min="6151" max="6151" width="9.5703125" customWidth="1"/>
    <col min="6152" max="6152" width="13.140625" customWidth="1"/>
    <col min="6153" max="6153" width="9.85546875" customWidth="1"/>
    <col min="6154" max="6154" width="9.140625" customWidth="1"/>
    <col min="6155" max="6156" width="13.85546875" customWidth="1"/>
    <col min="6157" max="6157" width="10.5703125" customWidth="1"/>
    <col min="6158" max="6158" width="15.140625" customWidth="1"/>
    <col min="6159" max="6159" width="20.42578125" customWidth="1"/>
    <col min="6402" max="6402" width="30.28515625" customWidth="1"/>
    <col min="6403" max="6403" width="10.42578125" customWidth="1"/>
    <col min="6406" max="6406" width="10.28515625" customWidth="1"/>
    <col min="6407" max="6407" width="9.5703125" customWidth="1"/>
    <col min="6408" max="6408" width="13.140625" customWidth="1"/>
    <col min="6409" max="6409" width="9.85546875" customWidth="1"/>
    <col min="6410" max="6410" width="9.140625" customWidth="1"/>
    <col min="6411" max="6412" width="13.85546875" customWidth="1"/>
    <col min="6413" max="6413" width="10.5703125" customWidth="1"/>
    <col min="6414" max="6414" width="15.140625" customWidth="1"/>
    <col min="6415" max="6415" width="20.42578125" customWidth="1"/>
    <col min="6658" max="6658" width="30.28515625" customWidth="1"/>
    <col min="6659" max="6659" width="10.42578125" customWidth="1"/>
    <col min="6662" max="6662" width="10.28515625" customWidth="1"/>
    <col min="6663" max="6663" width="9.5703125" customWidth="1"/>
    <col min="6664" max="6664" width="13.140625" customWidth="1"/>
    <col min="6665" max="6665" width="9.85546875" customWidth="1"/>
    <col min="6666" max="6666" width="9.140625" customWidth="1"/>
    <col min="6667" max="6668" width="13.85546875" customWidth="1"/>
    <col min="6669" max="6669" width="10.5703125" customWidth="1"/>
    <col min="6670" max="6670" width="15.140625" customWidth="1"/>
    <col min="6671" max="6671" width="20.42578125" customWidth="1"/>
    <col min="6914" max="6914" width="30.28515625" customWidth="1"/>
    <col min="6915" max="6915" width="10.42578125" customWidth="1"/>
    <col min="6918" max="6918" width="10.28515625" customWidth="1"/>
    <col min="6919" max="6919" width="9.5703125" customWidth="1"/>
    <col min="6920" max="6920" width="13.140625" customWidth="1"/>
    <col min="6921" max="6921" width="9.85546875" customWidth="1"/>
    <col min="6922" max="6922" width="9.140625" customWidth="1"/>
    <col min="6923" max="6924" width="13.85546875" customWidth="1"/>
    <col min="6925" max="6925" width="10.5703125" customWidth="1"/>
    <col min="6926" max="6926" width="15.140625" customWidth="1"/>
    <col min="6927" max="6927" width="20.42578125" customWidth="1"/>
    <col min="7170" max="7170" width="30.28515625" customWidth="1"/>
    <col min="7171" max="7171" width="10.42578125" customWidth="1"/>
    <col min="7174" max="7174" width="10.28515625" customWidth="1"/>
    <col min="7175" max="7175" width="9.5703125" customWidth="1"/>
    <col min="7176" max="7176" width="13.140625" customWidth="1"/>
    <col min="7177" max="7177" width="9.85546875" customWidth="1"/>
    <col min="7178" max="7178" width="9.140625" customWidth="1"/>
    <col min="7179" max="7180" width="13.85546875" customWidth="1"/>
    <col min="7181" max="7181" width="10.5703125" customWidth="1"/>
    <col min="7182" max="7182" width="15.140625" customWidth="1"/>
    <col min="7183" max="7183" width="20.42578125" customWidth="1"/>
    <col min="7426" max="7426" width="30.28515625" customWidth="1"/>
    <col min="7427" max="7427" width="10.42578125" customWidth="1"/>
    <col min="7430" max="7430" width="10.28515625" customWidth="1"/>
    <col min="7431" max="7431" width="9.5703125" customWidth="1"/>
    <col min="7432" max="7432" width="13.140625" customWidth="1"/>
    <col min="7433" max="7433" width="9.85546875" customWidth="1"/>
    <col min="7434" max="7434" width="9.140625" customWidth="1"/>
    <col min="7435" max="7436" width="13.85546875" customWidth="1"/>
    <col min="7437" max="7437" width="10.5703125" customWidth="1"/>
    <col min="7438" max="7438" width="15.140625" customWidth="1"/>
    <col min="7439" max="7439" width="20.42578125" customWidth="1"/>
    <col min="7682" max="7682" width="30.28515625" customWidth="1"/>
    <col min="7683" max="7683" width="10.42578125" customWidth="1"/>
    <col min="7686" max="7686" width="10.28515625" customWidth="1"/>
    <col min="7687" max="7687" width="9.5703125" customWidth="1"/>
    <col min="7688" max="7688" width="13.140625" customWidth="1"/>
    <col min="7689" max="7689" width="9.85546875" customWidth="1"/>
    <col min="7690" max="7690" width="9.140625" customWidth="1"/>
    <col min="7691" max="7692" width="13.85546875" customWidth="1"/>
    <col min="7693" max="7693" width="10.5703125" customWidth="1"/>
    <col min="7694" max="7694" width="15.140625" customWidth="1"/>
    <col min="7695" max="7695" width="20.42578125" customWidth="1"/>
    <col min="7938" max="7938" width="30.28515625" customWidth="1"/>
    <col min="7939" max="7939" width="10.42578125" customWidth="1"/>
    <col min="7942" max="7942" width="10.28515625" customWidth="1"/>
    <col min="7943" max="7943" width="9.5703125" customWidth="1"/>
    <col min="7944" max="7944" width="13.140625" customWidth="1"/>
    <col min="7945" max="7945" width="9.85546875" customWidth="1"/>
    <col min="7946" max="7946" width="9.140625" customWidth="1"/>
    <col min="7947" max="7948" width="13.85546875" customWidth="1"/>
    <col min="7949" max="7949" width="10.5703125" customWidth="1"/>
    <col min="7950" max="7950" width="15.140625" customWidth="1"/>
    <col min="7951" max="7951" width="20.42578125" customWidth="1"/>
    <col min="8194" max="8194" width="30.28515625" customWidth="1"/>
    <col min="8195" max="8195" width="10.42578125" customWidth="1"/>
    <col min="8198" max="8198" width="10.28515625" customWidth="1"/>
    <col min="8199" max="8199" width="9.5703125" customWidth="1"/>
    <col min="8200" max="8200" width="13.140625" customWidth="1"/>
    <col min="8201" max="8201" width="9.85546875" customWidth="1"/>
    <col min="8202" max="8202" width="9.140625" customWidth="1"/>
    <col min="8203" max="8204" width="13.85546875" customWidth="1"/>
    <col min="8205" max="8205" width="10.5703125" customWidth="1"/>
    <col min="8206" max="8206" width="15.140625" customWidth="1"/>
    <col min="8207" max="8207" width="20.42578125" customWidth="1"/>
    <col min="8450" max="8450" width="30.28515625" customWidth="1"/>
    <col min="8451" max="8451" width="10.42578125" customWidth="1"/>
    <col min="8454" max="8454" width="10.28515625" customWidth="1"/>
    <col min="8455" max="8455" width="9.5703125" customWidth="1"/>
    <col min="8456" max="8456" width="13.140625" customWidth="1"/>
    <col min="8457" max="8457" width="9.85546875" customWidth="1"/>
    <col min="8458" max="8458" width="9.140625" customWidth="1"/>
    <col min="8459" max="8460" width="13.85546875" customWidth="1"/>
    <col min="8461" max="8461" width="10.5703125" customWidth="1"/>
    <col min="8462" max="8462" width="15.140625" customWidth="1"/>
    <col min="8463" max="8463" width="20.42578125" customWidth="1"/>
    <col min="8706" max="8706" width="30.28515625" customWidth="1"/>
    <col min="8707" max="8707" width="10.42578125" customWidth="1"/>
    <col min="8710" max="8710" width="10.28515625" customWidth="1"/>
    <col min="8711" max="8711" width="9.5703125" customWidth="1"/>
    <col min="8712" max="8712" width="13.140625" customWidth="1"/>
    <col min="8713" max="8713" width="9.85546875" customWidth="1"/>
    <col min="8714" max="8714" width="9.140625" customWidth="1"/>
    <col min="8715" max="8716" width="13.85546875" customWidth="1"/>
    <col min="8717" max="8717" width="10.5703125" customWidth="1"/>
    <col min="8718" max="8718" width="15.140625" customWidth="1"/>
    <col min="8719" max="8719" width="20.42578125" customWidth="1"/>
    <col min="8962" max="8962" width="30.28515625" customWidth="1"/>
    <col min="8963" max="8963" width="10.42578125" customWidth="1"/>
    <col min="8966" max="8966" width="10.28515625" customWidth="1"/>
    <col min="8967" max="8967" width="9.5703125" customWidth="1"/>
    <col min="8968" max="8968" width="13.140625" customWidth="1"/>
    <col min="8969" max="8969" width="9.85546875" customWidth="1"/>
    <col min="8970" max="8970" width="9.140625" customWidth="1"/>
    <col min="8971" max="8972" width="13.85546875" customWidth="1"/>
    <col min="8973" max="8973" width="10.5703125" customWidth="1"/>
    <col min="8974" max="8974" width="15.140625" customWidth="1"/>
    <col min="8975" max="8975" width="20.42578125" customWidth="1"/>
    <col min="9218" max="9218" width="30.28515625" customWidth="1"/>
    <col min="9219" max="9219" width="10.42578125" customWidth="1"/>
    <col min="9222" max="9222" width="10.28515625" customWidth="1"/>
    <col min="9223" max="9223" width="9.5703125" customWidth="1"/>
    <col min="9224" max="9224" width="13.140625" customWidth="1"/>
    <col min="9225" max="9225" width="9.85546875" customWidth="1"/>
    <col min="9226" max="9226" width="9.140625" customWidth="1"/>
    <col min="9227" max="9228" width="13.85546875" customWidth="1"/>
    <col min="9229" max="9229" width="10.5703125" customWidth="1"/>
    <col min="9230" max="9230" width="15.140625" customWidth="1"/>
    <col min="9231" max="9231" width="20.42578125" customWidth="1"/>
    <col min="9474" max="9474" width="30.28515625" customWidth="1"/>
    <col min="9475" max="9475" width="10.42578125" customWidth="1"/>
    <col min="9478" max="9478" width="10.28515625" customWidth="1"/>
    <col min="9479" max="9479" width="9.5703125" customWidth="1"/>
    <col min="9480" max="9480" width="13.140625" customWidth="1"/>
    <col min="9481" max="9481" width="9.85546875" customWidth="1"/>
    <col min="9482" max="9482" width="9.140625" customWidth="1"/>
    <col min="9483" max="9484" width="13.85546875" customWidth="1"/>
    <col min="9485" max="9485" width="10.5703125" customWidth="1"/>
    <col min="9486" max="9486" width="15.140625" customWidth="1"/>
    <col min="9487" max="9487" width="20.42578125" customWidth="1"/>
    <col min="9730" max="9730" width="30.28515625" customWidth="1"/>
    <col min="9731" max="9731" width="10.42578125" customWidth="1"/>
    <col min="9734" max="9734" width="10.28515625" customWidth="1"/>
    <col min="9735" max="9735" width="9.5703125" customWidth="1"/>
    <col min="9736" max="9736" width="13.140625" customWidth="1"/>
    <col min="9737" max="9737" width="9.85546875" customWidth="1"/>
    <col min="9738" max="9738" width="9.140625" customWidth="1"/>
    <col min="9739" max="9740" width="13.85546875" customWidth="1"/>
    <col min="9741" max="9741" width="10.5703125" customWidth="1"/>
    <col min="9742" max="9742" width="15.140625" customWidth="1"/>
    <col min="9743" max="9743" width="20.42578125" customWidth="1"/>
    <col min="9986" max="9986" width="30.28515625" customWidth="1"/>
    <col min="9987" max="9987" width="10.42578125" customWidth="1"/>
    <col min="9990" max="9990" width="10.28515625" customWidth="1"/>
    <col min="9991" max="9991" width="9.5703125" customWidth="1"/>
    <col min="9992" max="9992" width="13.140625" customWidth="1"/>
    <col min="9993" max="9993" width="9.85546875" customWidth="1"/>
    <col min="9994" max="9994" width="9.140625" customWidth="1"/>
    <col min="9995" max="9996" width="13.85546875" customWidth="1"/>
    <col min="9997" max="9997" width="10.5703125" customWidth="1"/>
    <col min="9998" max="9998" width="15.140625" customWidth="1"/>
    <col min="9999" max="9999" width="20.42578125" customWidth="1"/>
    <col min="10242" max="10242" width="30.28515625" customWidth="1"/>
    <col min="10243" max="10243" width="10.42578125" customWidth="1"/>
    <col min="10246" max="10246" width="10.28515625" customWidth="1"/>
    <col min="10247" max="10247" width="9.5703125" customWidth="1"/>
    <col min="10248" max="10248" width="13.140625" customWidth="1"/>
    <col min="10249" max="10249" width="9.85546875" customWidth="1"/>
    <col min="10250" max="10250" width="9.140625" customWidth="1"/>
    <col min="10251" max="10252" width="13.85546875" customWidth="1"/>
    <col min="10253" max="10253" width="10.5703125" customWidth="1"/>
    <col min="10254" max="10254" width="15.140625" customWidth="1"/>
    <col min="10255" max="10255" width="20.42578125" customWidth="1"/>
    <col min="10498" max="10498" width="30.28515625" customWidth="1"/>
    <col min="10499" max="10499" width="10.42578125" customWidth="1"/>
    <col min="10502" max="10502" width="10.28515625" customWidth="1"/>
    <col min="10503" max="10503" width="9.5703125" customWidth="1"/>
    <col min="10504" max="10504" width="13.140625" customWidth="1"/>
    <col min="10505" max="10505" width="9.85546875" customWidth="1"/>
    <col min="10506" max="10506" width="9.140625" customWidth="1"/>
    <col min="10507" max="10508" width="13.85546875" customWidth="1"/>
    <col min="10509" max="10509" width="10.5703125" customWidth="1"/>
    <col min="10510" max="10510" width="15.140625" customWidth="1"/>
    <col min="10511" max="10511" width="20.42578125" customWidth="1"/>
    <col min="10754" max="10754" width="30.28515625" customWidth="1"/>
    <col min="10755" max="10755" width="10.42578125" customWidth="1"/>
    <col min="10758" max="10758" width="10.28515625" customWidth="1"/>
    <col min="10759" max="10759" width="9.5703125" customWidth="1"/>
    <col min="10760" max="10760" width="13.140625" customWidth="1"/>
    <col min="10761" max="10761" width="9.85546875" customWidth="1"/>
    <col min="10762" max="10762" width="9.140625" customWidth="1"/>
    <col min="10763" max="10764" width="13.85546875" customWidth="1"/>
    <col min="10765" max="10765" width="10.5703125" customWidth="1"/>
    <col min="10766" max="10766" width="15.140625" customWidth="1"/>
    <col min="10767" max="10767" width="20.42578125" customWidth="1"/>
    <col min="11010" max="11010" width="30.28515625" customWidth="1"/>
    <col min="11011" max="11011" width="10.42578125" customWidth="1"/>
    <col min="11014" max="11014" width="10.28515625" customWidth="1"/>
    <col min="11015" max="11015" width="9.5703125" customWidth="1"/>
    <col min="11016" max="11016" width="13.140625" customWidth="1"/>
    <col min="11017" max="11017" width="9.85546875" customWidth="1"/>
    <col min="11018" max="11018" width="9.140625" customWidth="1"/>
    <col min="11019" max="11020" width="13.85546875" customWidth="1"/>
    <col min="11021" max="11021" width="10.5703125" customWidth="1"/>
    <col min="11022" max="11022" width="15.140625" customWidth="1"/>
    <col min="11023" max="11023" width="20.42578125" customWidth="1"/>
    <col min="11266" max="11266" width="30.28515625" customWidth="1"/>
    <col min="11267" max="11267" width="10.42578125" customWidth="1"/>
    <col min="11270" max="11270" width="10.28515625" customWidth="1"/>
    <col min="11271" max="11271" width="9.5703125" customWidth="1"/>
    <col min="11272" max="11272" width="13.140625" customWidth="1"/>
    <col min="11273" max="11273" width="9.85546875" customWidth="1"/>
    <col min="11274" max="11274" width="9.140625" customWidth="1"/>
    <col min="11275" max="11276" width="13.85546875" customWidth="1"/>
    <col min="11277" max="11277" width="10.5703125" customWidth="1"/>
    <col min="11278" max="11278" width="15.140625" customWidth="1"/>
    <col min="11279" max="11279" width="20.42578125" customWidth="1"/>
    <col min="11522" max="11522" width="30.28515625" customWidth="1"/>
    <col min="11523" max="11523" width="10.42578125" customWidth="1"/>
    <col min="11526" max="11526" width="10.28515625" customWidth="1"/>
    <col min="11527" max="11527" width="9.5703125" customWidth="1"/>
    <col min="11528" max="11528" width="13.140625" customWidth="1"/>
    <col min="11529" max="11529" width="9.85546875" customWidth="1"/>
    <col min="11530" max="11530" width="9.140625" customWidth="1"/>
    <col min="11531" max="11532" width="13.85546875" customWidth="1"/>
    <col min="11533" max="11533" width="10.5703125" customWidth="1"/>
    <col min="11534" max="11534" width="15.140625" customWidth="1"/>
    <col min="11535" max="11535" width="20.42578125" customWidth="1"/>
    <col min="11778" max="11778" width="30.28515625" customWidth="1"/>
    <col min="11779" max="11779" width="10.42578125" customWidth="1"/>
    <col min="11782" max="11782" width="10.28515625" customWidth="1"/>
    <col min="11783" max="11783" width="9.5703125" customWidth="1"/>
    <col min="11784" max="11784" width="13.140625" customWidth="1"/>
    <col min="11785" max="11785" width="9.85546875" customWidth="1"/>
    <col min="11786" max="11786" width="9.140625" customWidth="1"/>
    <col min="11787" max="11788" width="13.85546875" customWidth="1"/>
    <col min="11789" max="11789" width="10.5703125" customWidth="1"/>
    <col min="11790" max="11790" width="15.140625" customWidth="1"/>
    <col min="11791" max="11791" width="20.42578125" customWidth="1"/>
    <col min="12034" max="12034" width="30.28515625" customWidth="1"/>
    <col min="12035" max="12035" width="10.42578125" customWidth="1"/>
    <col min="12038" max="12038" width="10.28515625" customWidth="1"/>
    <col min="12039" max="12039" width="9.5703125" customWidth="1"/>
    <col min="12040" max="12040" width="13.140625" customWidth="1"/>
    <col min="12041" max="12041" width="9.85546875" customWidth="1"/>
    <col min="12042" max="12042" width="9.140625" customWidth="1"/>
    <col min="12043" max="12044" width="13.85546875" customWidth="1"/>
    <col min="12045" max="12045" width="10.5703125" customWidth="1"/>
    <col min="12046" max="12046" width="15.140625" customWidth="1"/>
    <col min="12047" max="12047" width="20.42578125" customWidth="1"/>
    <col min="12290" max="12290" width="30.28515625" customWidth="1"/>
    <col min="12291" max="12291" width="10.42578125" customWidth="1"/>
    <col min="12294" max="12294" width="10.28515625" customWidth="1"/>
    <col min="12295" max="12295" width="9.5703125" customWidth="1"/>
    <col min="12296" max="12296" width="13.140625" customWidth="1"/>
    <col min="12297" max="12297" width="9.85546875" customWidth="1"/>
    <col min="12298" max="12298" width="9.140625" customWidth="1"/>
    <col min="12299" max="12300" width="13.85546875" customWidth="1"/>
    <col min="12301" max="12301" width="10.5703125" customWidth="1"/>
    <col min="12302" max="12302" width="15.140625" customWidth="1"/>
    <col min="12303" max="12303" width="20.42578125" customWidth="1"/>
    <col min="12546" max="12546" width="30.28515625" customWidth="1"/>
    <col min="12547" max="12547" width="10.42578125" customWidth="1"/>
    <col min="12550" max="12550" width="10.28515625" customWidth="1"/>
    <col min="12551" max="12551" width="9.5703125" customWidth="1"/>
    <col min="12552" max="12552" width="13.140625" customWidth="1"/>
    <col min="12553" max="12553" width="9.85546875" customWidth="1"/>
    <col min="12554" max="12554" width="9.140625" customWidth="1"/>
    <col min="12555" max="12556" width="13.85546875" customWidth="1"/>
    <col min="12557" max="12557" width="10.5703125" customWidth="1"/>
    <col min="12558" max="12558" width="15.140625" customWidth="1"/>
    <col min="12559" max="12559" width="20.42578125" customWidth="1"/>
    <col min="12802" max="12802" width="30.28515625" customWidth="1"/>
    <col min="12803" max="12803" width="10.42578125" customWidth="1"/>
    <col min="12806" max="12806" width="10.28515625" customWidth="1"/>
    <col min="12807" max="12807" width="9.5703125" customWidth="1"/>
    <col min="12808" max="12808" width="13.140625" customWidth="1"/>
    <col min="12809" max="12809" width="9.85546875" customWidth="1"/>
    <col min="12810" max="12810" width="9.140625" customWidth="1"/>
    <col min="12811" max="12812" width="13.85546875" customWidth="1"/>
    <col min="12813" max="12813" width="10.5703125" customWidth="1"/>
    <col min="12814" max="12814" width="15.140625" customWidth="1"/>
    <col min="12815" max="12815" width="20.42578125" customWidth="1"/>
    <col min="13058" max="13058" width="30.28515625" customWidth="1"/>
    <col min="13059" max="13059" width="10.42578125" customWidth="1"/>
    <col min="13062" max="13062" width="10.28515625" customWidth="1"/>
    <col min="13063" max="13063" width="9.5703125" customWidth="1"/>
    <col min="13064" max="13064" width="13.140625" customWidth="1"/>
    <col min="13065" max="13065" width="9.85546875" customWidth="1"/>
    <col min="13066" max="13066" width="9.140625" customWidth="1"/>
    <col min="13067" max="13068" width="13.85546875" customWidth="1"/>
    <col min="13069" max="13069" width="10.5703125" customWidth="1"/>
    <col min="13070" max="13070" width="15.140625" customWidth="1"/>
    <col min="13071" max="13071" width="20.42578125" customWidth="1"/>
    <col min="13314" max="13314" width="30.28515625" customWidth="1"/>
    <col min="13315" max="13315" width="10.42578125" customWidth="1"/>
    <col min="13318" max="13318" width="10.28515625" customWidth="1"/>
    <col min="13319" max="13319" width="9.5703125" customWidth="1"/>
    <col min="13320" max="13320" width="13.140625" customWidth="1"/>
    <col min="13321" max="13321" width="9.85546875" customWidth="1"/>
    <col min="13322" max="13322" width="9.140625" customWidth="1"/>
    <col min="13323" max="13324" width="13.85546875" customWidth="1"/>
    <col min="13325" max="13325" width="10.5703125" customWidth="1"/>
    <col min="13326" max="13326" width="15.140625" customWidth="1"/>
    <col min="13327" max="13327" width="20.42578125" customWidth="1"/>
    <col min="13570" max="13570" width="30.28515625" customWidth="1"/>
    <col min="13571" max="13571" width="10.42578125" customWidth="1"/>
    <col min="13574" max="13574" width="10.28515625" customWidth="1"/>
    <col min="13575" max="13575" width="9.5703125" customWidth="1"/>
    <col min="13576" max="13576" width="13.140625" customWidth="1"/>
    <col min="13577" max="13577" width="9.85546875" customWidth="1"/>
    <col min="13578" max="13578" width="9.140625" customWidth="1"/>
    <col min="13579" max="13580" width="13.85546875" customWidth="1"/>
    <col min="13581" max="13581" width="10.5703125" customWidth="1"/>
    <col min="13582" max="13582" width="15.140625" customWidth="1"/>
    <col min="13583" max="13583" width="20.42578125" customWidth="1"/>
    <col min="13826" max="13826" width="30.28515625" customWidth="1"/>
    <col min="13827" max="13827" width="10.42578125" customWidth="1"/>
    <col min="13830" max="13830" width="10.28515625" customWidth="1"/>
    <col min="13831" max="13831" width="9.5703125" customWidth="1"/>
    <col min="13832" max="13832" width="13.140625" customWidth="1"/>
    <col min="13833" max="13833" width="9.85546875" customWidth="1"/>
    <col min="13834" max="13834" width="9.140625" customWidth="1"/>
    <col min="13835" max="13836" width="13.85546875" customWidth="1"/>
    <col min="13837" max="13837" width="10.5703125" customWidth="1"/>
    <col min="13838" max="13838" width="15.140625" customWidth="1"/>
    <col min="13839" max="13839" width="20.42578125" customWidth="1"/>
    <col min="14082" max="14082" width="30.28515625" customWidth="1"/>
    <col min="14083" max="14083" width="10.42578125" customWidth="1"/>
    <col min="14086" max="14086" width="10.28515625" customWidth="1"/>
    <col min="14087" max="14087" width="9.5703125" customWidth="1"/>
    <col min="14088" max="14088" width="13.140625" customWidth="1"/>
    <col min="14089" max="14089" width="9.85546875" customWidth="1"/>
    <col min="14090" max="14090" width="9.140625" customWidth="1"/>
    <col min="14091" max="14092" width="13.85546875" customWidth="1"/>
    <col min="14093" max="14093" width="10.5703125" customWidth="1"/>
    <col min="14094" max="14094" width="15.140625" customWidth="1"/>
    <col min="14095" max="14095" width="20.42578125" customWidth="1"/>
    <col min="14338" max="14338" width="30.28515625" customWidth="1"/>
    <col min="14339" max="14339" width="10.42578125" customWidth="1"/>
    <col min="14342" max="14342" width="10.28515625" customWidth="1"/>
    <col min="14343" max="14343" width="9.5703125" customWidth="1"/>
    <col min="14344" max="14344" width="13.140625" customWidth="1"/>
    <col min="14345" max="14345" width="9.85546875" customWidth="1"/>
    <col min="14346" max="14346" width="9.140625" customWidth="1"/>
    <col min="14347" max="14348" width="13.85546875" customWidth="1"/>
    <col min="14349" max="14349" width="10.5703125" customWidth="1"/>
    <col min="14350" max="14350" width="15.140625" customWidth="1"/>
    <col min="14351" max="14351" width="20.42578125" customWidth="1"/>
    <col min="14594" max="14594" width="30.28515625" customWidth="1"/>
    <col min="14595" max="14595" width="10.42578125" customWidth="1"/>
    <col min="14598" max="14598" width="10.28515625" customWidth="1"/>
    <col min="14599" max="14599" width="9.5703125" customWidth="1"/>
    <col min="14600" max="14600" width="13.140625" customWidth="1"/>
    <col min="14601" max="14601" width="9.85546875" customWidth="1"/>
    <col min="14602" max="14602" width="9.140625" customWidth="1"/>
    <col min="14603" max="14604" width="13.85546875" customWidth="1"/>
    <col min="14605" max="14605" width="10.5703125" customWidth="1"/>
    <col min="14606" max="14606" width="15.140625" customWidth="1"/>
    <col min="14607" max="14607" width="20.42578125" customWidth="1"/>
    <col min="14850" max="14850" width="30.28515625" customWidth="1"/>
    <col min="14851" max="14851" width="10.42578125" customWidth="1"/>
    <col min="14854" max="14854" width="10.28515625" customWidth="1"/>
    <col min="14855" max="14855" width="9.5703125" customWidth="1"/>
    <col min="14856" max="14856" width="13.140625" customWidth="1"/>
    <col min="14857" max="14857" width="9.85546875" customWidth="1"/>
    <col min="14858" max="14858" width="9.140625" customWidth="1"/>
    <col min="14859" max="14860" width="13.85546875" customWidth="1"/>
    <col min="14861" max="14861" width="10.5703125" customWidth="1"/>
    <col min="14862" max="14862" width="15.140625" customWidth="1"/>
    <col min="14863" max="14863" width="20.42578125" customWidth="1"/>
    <col min="15106" max="15106" width="30.28515625" customWidth="1"/>
    <col min="15107" max="15107" width="10.42578125" customWidth="1"/>
    <col min="15110" max="15110" width="10.28515625" customWidth="1"/>
    <col min="15111" max="15111" width="9.5703125" customWidth="1"/>
    <col min="15112" max="15112" width="13.140625" customWidth="1"/>
    <col min="15113" max="15113" width="9.85546875" customWidth="1"/>
    <col min="15114" max="15114" width="9.140625" customWidth="1"/>
    <col min="15115" max="15116" width="13.85546875" customWidth="1"/>
    <col min="15117" max="15117" width="10.5703125" customWidth="1"/>
    <col min="15118" max="15118" width="15.140625" customWidth="1"/>
    <col min="15119" max="15119" width="20.42578125" customWidth="1"/>
    <col min="15362" max="15362" width="30.28515625" customWidth="1"/>
    <col min="15363" max="15363" width="10.42578125" customWidth="1"/>
    <col min="15366" max="15366" width="10.28515625" customWidth="1"/>
    <col min="15367" max="15367" width="9.5703125" customWidth="1"/>
    <col min="15368" max="15368" width="13.140625" customWidth="1"/>
    <col min="15369" max="15369" width="9.85546875" customWidth="1"/>
    <col min="15370" max="15370" width="9.140625" customWidth="1"/>
    <col min="15371" max="15372" width="13.85546875" customWidth="1"/>
    <col min="15373" max="15373" width="10.5703125" customWidth="1"/>
    <col min="15374" max="15374" width="15.140625" customWidth="1"/>
    <col min="15375" max="15375" width="20.42578125" customWidth="1"/>
    <col min="15618" max="15618" width="30.28515625" customWidth="1"/>
    <col min="15619" max="15619" width="10.42578125" customWidth="1"/>
    <col min="15622" max="15622" width="10.28515625" customWidth="1"/>
    <col min="15623" max="15623" width="9.5703125" customWidth="1"/>
    <col min="15624" max="15624" width="13.140625" customWidth="1"/>
    <col min="15625" max="15625" width="9.85546875" customWidth="1"/>
    <col min="15626" max="15626" width="9.140625" customWidth="1"/>
    <col min="15627" max="15628" width="13.85546875" customWidth="1"/>
    <col min="15629" max="15629" width="10.5703125" customWidth="1"/>
    <col min="15630" max="15630" width="15.140625" customWidth="1"/>
    <col min="15631" max="15631" width="20.42578125" customWidth="1"/>
    <col min="15874" max="15874" width="30.28515625" customWidth="1"/>
    <col min="15875" max="15875" width="10.42578125" customWidth="1"/>
    <col min="15878" max="15878" width="10.28515625" customWidth="1"/>
    <col min="15879" max="15879" width="9.5703125" customWidth="1"/>
    <col min="15880" max="15880" width="13.140625" customWidth="1"/>
    <col min="15881" max="15881" width="9.85546875" customWidth="1"/>
    <col min="15882" max="15882" width="9.140625" customWidth="1"/>
    <col min="15883" max="15884" width="13.85546875" customWidth="1"/>
    <col min="15885" max="15885" width="10.5703125" customWidth="1"/>
    <col min="15886" max="15886" width="15.140625" customWidth="1"/>
    <col min="15887" max="15887" width="20.42578125" customWidth="1"/>
    <col min="16130" max="16130" width="30.28515625" customWidth="1"/>
    <col min="16131" max="16131" width="10.42578125" customWidth="1"/>
    <col min="16134" max="16134" width="10.28515625" customWidth="1"/>
    <col min="16135" max="16135" width="9.5703125" customWidth="1"/>
    <col min="16136" max="16136" width="13.140625" customWidth="1"/>
    <col min="16137" max="16137" width="9.85546875" customWidth="1"/>
    <col min="16138" max="16138" width="9.140625" customWidth="1"/>
    <col min="16139" max="16140" width="13.85546875" customWidth="1"/>
    <col min="16141" max="16141" width="10.5703125" customWidth="1"/>
    <col min="16142" max="16142" width="15.140625" customWidth="1"/>
    <col min="16143" max="16143" width="20.42578125" customWidth="1"/>
  </cols>
  <sheetData>
    <row r="1" spans="1:15" x14ac:dyDescent="0.25">
      <c r="A1" s="87" t="s">
        <v>731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</row>
    <row r="2" spans="1:15" ht="15.75" thickBot="1" x14ac:dyDescent="0.3">
      <c r="A2" s="25"/>
      <c r="B2" s="26"/>
      <c r="C2" s="26"/>
      <c r="D2" s="27"/>
      <c r="E2" s="27"/>
      <c r="F2" s="27"/>
      <c r="G2" s="28"/>
      <c r="H2" s="28"/>
      <c r="I2" s="28"/>
      <c r="J2" s="28"/>
      <c r="K2" s="28"/>
      <c r="L2" s="28"/>
      <c r="M2" s="28"/>
      <c r="N2" s="28"/>
      <c r="O2" s="27"/>
    </row>
    <row r="3" spans="1:15" ht="15.75" thickBot="1" x14ac:dyDescent="0.3">
      <c r="A3" s="25"/>
      <c r="B3" s="27"/>
      <c r="C3" s="27"/>
      <c r="D3" s="27"/>
      <c r="E3" s="27"/>
      <c r="F3" s="88" t="s">
        <v>620</v>
      </c>
      <c r="G3" s="89"/>
      <c r="H3" s="90"/>
      <c r="I3" s="91" t="s">
        <v>621</v>
      </c>
      <c r="J3" s="92"/>
      <c r="K3" s="93"/>
      <c r="L3" s="29"/>
      <c r="M3" s="28"/>
      <c r="N3" s="28"/>
      <c r="O3" s="27"/>
    </row>
    <row r="4" spans="1:15" s="34" customFormat="1" ht="36" x14ac:dyDescent="0.2">
      <c r="A4" s="30" t="s">
        <v>0</v>
      </c>
      <c r="B4" s="30" t="s">
        <v>1</v>
      </c>
      <c r="C4" s="30" t="s">
        <v>622</v>
      </c>
      <c r="D4" s="30" t="s">
        <v>3</v>
      </c>
      <c r="E4" s="30" t="s">
        <v>4</v>
      </c>
      <c r="F4" s="31" t="s">
        <v>623</v>
      </c>
      <c r="G4" s="32" t="s">
        <v>624</v>
      </c>
      <c r="H4" s="32" t="s">
        <v>625</v>
      </c>
      <c r="I4" s="32" t="s">
        <v>626</v>
      </c>
      <c r="J4" s="32" t="s">
        <v>624</v>
      </c>
      <c r="K4" s="32" t="s">
        <v>627</v>
      </c>
      <c r="L4" s="33" t="s">
        <v>628</v>
      </c>
      <c r="M4" s="33" t="s">
        <v>629</v>
      </c>
      <c r="N4" s="32" t="s">
        <v>630</v>
      </c>
      <c r="O4" s="30" t="s">
        <v>631</v>
      </c>
    </row>
    <row r="5" spans="1:15" s="39" customFormat="1" ht="16.5" customHeight="1" x14ac:dyDescent="0.25">
      <c r="A5" s="35" t="s">
        <v>732</v>
      </c>
      <c r="B5" s="35" t="s">
        <v>733</v>
      </c>
      <c r="C5" s="36">
        <f t="shared" ref="C5:C75" si="0">SUM(H5+K5+N5)</f>
        <v>7000</v>
      </c>
      <c r="D5" s="35"/>
      <c r="E5" s="35"/>
      <c r="F5" s="35">
        <v>1</v>
      </c>
      <c r="G5" s="37">
        <v>7000</v>
      </c>
      <c r="H5" s="35">
        <f t="shared" ref="H5:H10" si="1">F5*G5</f>
        <v>7000</v>
      </c>
      <c r="I5" s="35"/>
      <c r="J5" s="36">
        <v>9000</v>
      </c>
      <c r="K5" s="38">
        <f t="shared" ref="K5:K75" si="2">SUM(I5*J5)</f>
        <v>0</v>
      </c>
      <c r="L5" s="35"/>
      <c r="M5" s="35">
        <v>5000</v>
      </c>
      <c r="N5" s="35">
        <v>0</v>
      </c>
      <c r="O5" s="35"/>
    </row>
    <row r="6" spans="1:15" s="39" customFormat="1" ht="16.5" x14ac:dyDescent="0.25">
      <c r="A6" s="35" t="s">
        <v>709</v>
      </c>
      <c r="B6" s="35" t="s">
        <v>710</v>
      </c>
      <c r="C6" s="36">
        <f t="shared" ref="C6" si="3">SUM(H6+K6+N6)</f>
        <v>140000</v>
      </c>
      <c r="D6" s="35"/>
      <c r="E6" s="35"/>
      <c r="F6" s="35">
        <v>20</v>
      </c>
      <c r="G6" s="37">
        <v>7000</v>
      </c>
      <c r="H6" s="35">
        <f t="shared" si="1"/>
        <v>140000</v>
      </c>
      <c r="I6" s="35"/>
      <c r="J6" s="36">
        <v>9000</v>
      </c>
      <c r="K6" s="38">
        <f t="shared" ref="K6" si="4">SUM(I6*J6)</f>
        <v>0</v>
      </c>
      <c r="L6" s="35"/>
      <c r="M6" s="35">
        <v>5000</v>
      </c>
      <c r="N6" s="35">
        <v>0</v>
      </c>
      <c r="O6" s="35"/>
    </row>
    <row r="7" spans="1:15" s="39" customFormat="1" ht="16.5" x14ac:dyDescent="0.25">
      <c r="A7" s="35" t="s">
        <v>719</v>
      </c>
      <c r="B7" s="35" t="s">
        <v>190</v>
      </c>
      <c r="C7" s="36">
        <f t="shared" ref="C7" si="5">SUM(H7+K7+N7)</f>
        <v>36000</v>
      </c>
      <c r="D7" s="35"/>
      <c r="E7" s="35"/>
      <c r="F7" s="35"/>
      <c r="G7" s="37">
        <v>7000</v>
      </c>
      <c r="H7" s="35">
        <f t="shared" si="1"/>
        <v>0</v>
      </c>
      <c r="I7" s="35">
        <v>4</v>
      </c>
      <c r="J7" s="36">
        <v>9000</v>
      </c>
      <c r="K7" s="38">
        <f t="shared" ref="K7" si="6">SUM(I7*J7)</f>
        <v>36000</v>
      </c>
      <c r="L7" s="35"/>
      <c r="M7" s="35">
        <v>5000</v>
      </c>
      <c r="N7" s="35">
        <v>0</v>
      </c>
      <c r="O7" s="35"/>
    </row>
    <row r="8" spans="1:15" s="39" customFormat="1" ht="16.5" customHeight="1" x14ac:dyDescent="0.25">
      <c r="A8" s="35" t="s">
        <v>632</v>
      </c>
      <c r="B8" s="35" t="s">
        <v>419</v>
      </c>
      <c r="C8" s="36">
        <f t="shared" si="0"/>
        <v>28000</v>
      </c>
      <c r="D8" s="35"/>
      <c r="E8" s="35"/>
      <c r="F8" s="35">
        <v>4</v>
      </c>
      <c r="G8" s="37">
        <v>7000</v>
      </c>
      <c r="H8" s="35">
        <f t="shared" si="1"/>
        <v>28000</v>
      </c>
      <c r="I8" s="35"/>
      <c r="J8" s="36">
        <v>9000</v>
      </c>
      <c r="K8" s="38">
        <f t="shared" si="2"/>
        <v>0</v>
      </c>
      <c r="L8" s="35"/>
      <c r="M8" s="35">
        <v>5000</v>
      </c>
      <c r="N8" s="35">
        <v>0</v>
      </c>
      <c r="O8" s="35"/>
    </row>
    <row r="9" spans="1:15" s="39" customFormat="1" ht="16.5" x14ac:dyDescent="0.25">
      <c r="A9" s="35" t="s">
        <v>633</v>
      </c>
      <c r="B9" s="35" t="s">
        <v>634</v>
      </c>
      <c r="C9" s="36">
        <f t="shared" si="0"/>
        <v>119000</v>
      </c>
      <c r="D9" s="35"/>
      <c r="E9" s="35"/>
      <c r="F9" s="35">
        <v>17</v>
      </c>
      <c r="G9" s="37">
        <v>7000</v>
      </c>
      <c r="H9" s="35">
        <f t="shared" si="1"/>
        <v>119000</v>
      </c>
      <c r="I9" s="35"/>
      <c r="J9" s="36">
        <v>9000</v>
      </c>
      <c r="K9" s="38">
        <f t="shared" si="2"/>
        <v>0</v>
      </c>
      <c r="L9" s="35"/>
      <c r="M9" s="35">
        <v>5000</v>
      </c>
      <c r="N9" s="35">
        <v>0</v>
      </c>
      <c r="O9" s="35"/>
    </row>
    <row r="10" spans="1:15" s="39" customFormat="1" ht="16.5" x14ac:dyDescent="0.25">
      <c r="A10" s="35" t="s">
        <v>635</v>
      </c>
      <c r="B10" s="35" t="s">
        <v>294</v>
      </c>
      <c r="C10" s="36">
        <f t="shared" si="0"/>
        <v>7000</v>
      </c>
      <c r="D10" s="35"/>
      <c r="E10" s="35"/>
      <c r="F10" s="35">
        <v>1</v>
      </c>
      <c r="G10" s="37">
        <v>7000</v>
      </c>
      <c r="H10" s="35">
        <f t="shared" si="1"/>
        <v>7000</v>
      </c>
      <c r="I10" s="35"/>
      <c r="J10" s="36">
        <v>9000</v>
      </c>
      <c r="K10" s="38">
        <f t="shared" si="2"/>
        <v>0</v>
      </c>
      <c r="L10" s="35"/>
      <c r="M10" s="35">
        <v>5000</v>
      </c>
      <c r="N10" s="35">
        <v>0</v>
      </c>
      <c r="O10" s="35"/>
    </row>
    <row r="11" spans="1:15" s="39" customFormat="1" ht="16.5" x14ac:dyDescent="0.25">
      <c r="A11" s="35" t="s">
        <v>694</v>
      </c>
      <c r="B11" s="35" t="s">
        <v>268</v>
      </c>
      <c r="C11" s="36">
        <f t="shared" si="0"/>
        <v>98000</v>
      </c>
      <c r="D11" s="35"/>
      <c r="E11" s="35"/>
      <c r="F11" s="35">
        <v>14</v>
      </c>
      <c r="G11" s="37">
        <v>7000</v>
      </c>
      <c r="H11" s="37">
        <f t="shared" ref="H11:H75" si="7">SUM(F11*G11)</f>
        <v>98000</v>
      </c>
      <c r="I11" s="35"/>
      <c r="J11" s="36">
        <v>9000</v>
      </c>
      <c r="K11" s="38">
        <f t="shared" si="2"/>
        <v>0</v>
      </c>
      <c r="L11" s="35"/>
      <c r="M11" s="35">
        <v>5000</v>
      </c>
      <c r="N11" s="38">
        <f>L11*M11</f>
        <v>0</v>
      </c>
      <c r="O11" s="40"/>
    </row>
    <row r="12" spans="1:15" s="39" customFormat="1" ht="16.5" x14ac:dyDescent="0.25">
      <c r="A12" s="35" t="s">
        <v>636</v>
      </c>
      <c r="B12" s="35" t="s">
        <v>637</v>
      </c>
      <c r="C12" s="36">
        <f t="shared" si="0"/>
        <v>0</v>
      </c>
      <c r="D12" s="35"/>
      <c r="E12" s="35"/>
      <c r="F12" s="35"/>
      <c r="G12" s="37">
        <v>7000</v>
      </c>
      <c r="H12" s="37">
        <f t="shared" si="7"/>
        <v>0</v>
      </c>
      <c r="I12" s="35"/>
      <c r="J12" s="36">
        <v>9000</v>
      </c>
      <c r="K12" s="38">
        <f t="shared" si="2"/>
        <v>0</v>
      </c>
      <c r="L12" s="35"/>
      <c r="M12" s="35">
        <v>5000</v>
      </c>
      <c r="N12" s="38">
        <f>L12*M12</f>
        <v>0</v>
      </c>
      <c r="O12" s="40"/>
    </row>
    <row r="13" spans="1:15" s="39" customFormat="1" ht="16.5" x14ac:dyDescent="0.25">
      <c r="A13" s="35" t="s">
        <v>638</v>
      </c>
      <c r="B13" s="35" t="s">
        <v>455</v>
      </c>
      <c r="C13" s="36">
        <f t="shared" si="0"/>
        <v>77000</v>
      </c>
      <c r="D13" s="35"/>
      <c r="E13" s="35"/>
      <c r="F13" s="35">
        <v>11</v>
      </c>
      <c r="G13" s="37">
        <v>7000</v>
      </c>
      <c r="H13" s="37">
        <f t="shared" si="7"/>
        <v>77000</v>
      </c>
      <c r="I13" s="35"/>
      <c r="J13" s="36">
        <v>9000</v>
      </c>
      <c r="K13" s="38">
        <f t="shared" si="2"/>
        <v>0</v>
      </c>
      <c r="L13" s="35"/>
      <c r="M13" s="35">
        <v>5000</v>
      </c>
      <c r="N13" s="38">
        <f>L13*M13</f>
        <v>0</v>
      </c>
      <c r="O13" s="40"/>
    </row>
    <row r="14" spans="1:15" s="39" customFormat="1" ht="12.75" hidden="1" customHeight="1" x14ac:dyDescent="0.25">
      <c r="A14" s="35" t="s">
        <v>639</v>
      </c>
      <c r="B14" s="35" t="s">
        <v>640</v>
      </c>
      <c r="C14" s="36">
        <f t="shared" si="0"/>
        <v>0</v>
      </c>
      <c r="D14" s="35"/>
      <c r="E14" s="35"/>
      <c r="F14" s="35"/>
      <c r="G14" s="37">
        <v>7000</v>
      </c>
      <c r="H14" s="37">
        <f t="shared" si="7"/>
        <v>0</v>
      </c>
      <c r="I14" s="35"/>
      <c r="J14" s="36">
        <v>9000</v>
      </c>
      <c r="K14" s="38">
        <f t="shared" si="2"/>
        <v>0</v>
      </c>
      <c r="L14" s="35"/>
      <c r="M14" s="35">
        <v>5000</v>
      </c>
      <c r="N14" s="38">
        <f>L14*M14</f>
        <v>0</v>
      </c>
      <c r="O14" s="40"/>
    </row>
    <row r="15" spans="1:15" s="39" customFormat="1" ht="16.5" hidden="1" x14ac:dyDescent="0.25">
      <c r="A15" s="35" t="s">
        <v>641</v>
      </c>
      <c r="B15" s="35" t="s">
        <v>642</v>
      </c>
      <c r="C15" s="36">
        <f t="shared" si="0"/>
        <v>0</v>
      </c>
      <c r="D15" s="35"/>
      <c r="E15" s="35"/>
      <c r="F15" s="35"/>
      <c r="G15" s="37">
        <v>7000</v>
      </c>
      <c r="H15" s="37">
        <f t="shared" si="7"/>
        <v>0</v>
      </c>
      <c r="I15" s="35"/>
      <c r="J15" s="36">
        <v>9000</v>
      </c>
      <c r="K15" s="38">
        <f t="shared" si="2"/>
        <v>0</v>
      </c>
      <c r="L15" s="35"/>
      <c r="M15" s="35">
        <v>5000</v>
      </c>
      <c r="N15" s="38">
        <f t="shared" ref="N15:N16" si="8">L15*M15</f>
        <v>0</v>
      </c>
      <c r="O15" s="40"/>
    </row>
    <row r="16" spans="1:15" s="39" customFormat="1" ht="16.5" hidden="1" x14ac:dyDescent="0.25">
      <c r="A16" s="35" t="s">
        <v>321</v>
      </c>
      <c r="B16" s="35" t="s">
        <v>643</v>
      </c>
      <c r="C16" s="36">
        <f t="shared" si="0"/>
        <v>0</v>
      </c>
      <c r="D16" s="35"/>
      <c r="E16" s="35"/>
      <c r="F16" s="35"/>
      <c r="G16" s="37">
        <v>7000</v>
      </c>
      <c r="H16" s="37">
        <f t="shared" si="7"/>
        <v>0</v>
      </c>
      <c r="I16" s="35"/>
      <c r="J16" s="36">
        <v>9000</v>
      </c>
      <c r="K16" s="38">
        <f t="shared" si="2"/>
        <v>0</v>
      </c>
      <c r="L16" s="35"/>
      <c r="M16" s="35">
        <v>5000</v>
      </c>
      <c r="N16" s="38">
        <f t="shared" si="8"/>
        <v>0</v>
      </c>
      <c r="O16" s="40"/>
    </row>
    <row r="17" spans="1:15" s="39" customFormat="1" ht="16.5" hidden="1" x14ac:dyDescent="0.25">
      <c r="A17" s="35" t="s">
        <v>695</v>
      </c>
      <c r="B17" s="35" t="s">
        <v>696</v>
      </c>
      <c r="C17" s="36">
        <f t="shared" si="0"/>
        <v>0</v>
      </c>
      <c r="D17" s="35"/>
      <c r="E17" s="35"/>
      <c r="F17" s="35"/>
      <c r="G17" s="37">
        <v>7000</v>
      </c>
      <c r="H17" s="37">
        <f t="shared" si="7"/>
        <v>0</v>
      </c>
      <c r="I17" s="35"/>
      <c r="J17" s="36">
        <v>9000</v>
      </c>
      <c r="K17" s="38">
        <f t="shared" si="2"/>
        <v>0</v>
      </c>
      <c r="L17" s="35"/>
      <c r="M17" s="35">
        <v>5000</v>
      </c>
      <c r="N17" s="38">
        <f>L17*M17</f>
        <v>0</v>
      </c>
      <c r="O17" s="40"/>
    </row>
    <row r="18" spans="1:15" s="39" customFormat="1" ht="16.5" hidden="1" x14ac:dyDescent="0.25">
      <c r="A18" s="35" t="s">
        <v>381</v>
      </c>
      <c r="B18" s="35" t="s">
        <v>153</v>
      </c>
      <c r="C18" s="36">
        <f t="shared" si="0"/>
        <v>0</v>
      </c>
      <c r="D18" s="35"/>
      <c r="E18" s="35"/>
      <c r="F18" s="35"/>
      <c r="G18" s="37">
        <v>7000</v>
      </c>
      <c r="H18" s="37">
        <f t="shared" si="7"/>
        <v>0</v>
      </c>
      <c r="I18" s="35"/>
      <c r="J18" s="36">
        <v>9000</v>
      </c>
      <c r="K18" s="38">
        <f t="shared" si="2"/>
        <v>0</v>
      </c>
      <c r="L18" s="35"/>
      <c r="M18" s="35">
        <v>5000</v>
      </c>
      <c r="N18" s="38">
        <f t="shared" ref="N18:N75" si="9">L18*M18</f>
        <v>0</v>
      </c>
      <c r="O18" s="40"/>
    </row>
    <row r="19" spans="1:15" s="39" customFormat="1" ht="16.5" hidden="1" x14ac:dyDescent="0.25">
      <c r="A19" s="35" t="s">
        <v>720</v>
      </c>
      <c r="B19" s="35" t="s">
        <v>721</v>
      </c>
      <c r="C19" s="36">
        <f t="shared" ref="C19" si="10">SUM(H19+K19+N19)</f>
        <v>0</v>
      </c>
      <c r="D19" s="35"/>
      <c r="E19" s="35"/>
      <c r="F19" s="35"/>
      <c r="G19" s="37">
        <v>7000</v>
      </c>
      <c r="H19" s="37">
        <f t="shared" ref="H19" si="11">SUM(F19*G19)</f>
        <v>0</v>
      </c>
      <c r="I19" s="35"/>
      <c r="J19" s="36">
        <v>9000</v>
      </c>
      <c r="K19" s="38">
        <f t="shared" ref="K19" si="12">SUM(I19*J19)</f>
        <v>0</v>
      </c>
      <c r="L19" s="35"/>
      <c r="M19" s="35">
        <v>5000</v>
      </c>
      <c r="N19" s="38">
        <f>L19*M19</f>
        <v>0</v>
      </c>
      <c r="O19" s="40"/>
    </row>
    <row r="20" spans="1:15" s="39" customFormat="1" ht="16.5" hidden="1" x14ac:dyDescent="0.25">
      <c r="A20" s="35" t="s">
        <v>470</v>
      </c>
      <c r="B20" s="35" t="s">
        <v>644</v>
      </c>
      <c r="C20" s="36">
        <f t="shared" si="0"/>
        <v>0</v>
      </c>
      <c r="D20" s="35"/>
      <c r="E20" s="35"/>
      <c r="F20" s="35"/>
      <c r="G20" s="37">
        <v>7000</v>
      </c>
      <c r="H20" s="37">
        <f t="shared" si="7"/>
        <v>0</v>
      </c>
      <c r="I20" s="35"/>
      <c r="J20" s="36">
        <v>9000</v>
      </c>
      <c r="K20" s="38">
        <f t="shared" si="2"/>
        <v>0</v>
      </c>
      <c r="L20" s="35"/>
      <c r="M20" s="35">
        <v>5000</v>
      </c>
      <c r="N20" s="38">
        <f t="shared" si="9"/>
        <v>0</v>
      </c>
      <c r="O20" s="40"/>
    </row>
    <row r="21" spans="1:15" s="39" customFormat="1" ht="16.5" hidden="1" x14ac:dyDescent="0.25">
      <c r="A21" s="35" t="s">
        <v>645</v>
      </c>
      <c r="B21" s="35" t="s">
        <v>646</v>
      </c>
      <c r="C21" s="36">
        <f t="shared" si="0"/>
        <v>0</v>
      </c>
      <c r="D21" s="35"/>
      <c r="E21" s="35"/>
      <c r="F21" s="35"/>
      <c r="G21" s="37">
        <v>7000</v>
      </c>
      <c r="H21" s="37">
        <f t="shared" si="7"/>
        <v>0</v>
      </c>
      <c r="I21" s="35"/>
      <c r="J21" s="36">
        <v>9000</v>
      </c>
      <c r="K21" s="38">
        <f t="shared" si="2"/>
        <v>0</v>
      </c>
      <c r="L21" s="35"/>
      <c r="M21" s="35">
        <v>5000</v>
      </c>
      <c r="N21" s="38">
        <f t="shared" si="9"/>
        <v>0</v>
      </c>
      <c r="O21" s="40"/>
    </row>
    <row r="22" spans="1:15" s="39" customFormat="1" ht="16.5" x14ac:dyDescent="0.25">
      <c r="A22" s="35" t="s">
        <v>647</v>
      </c>
      <c r="B22" s="35" t="s">
        <v>648</v>
      </c>
      <c r="C22" s="36">
        <f t="shared" si="0"/>
        <v>112000</v>
      </c>
      <c r="D22" s="35"/>
      <c r="E22" s="35"/>
      <c r="F22" s="35">
        <v>16</v>
      </c>
      <c r="G22" s="37">
        <v>7000</v>
      </c>
      <c r="H22" s="37">
        <f t="shared" si="7"/>
        <v>112000</v>
      </c>
      <c r="I22" s="35"/>
      <c r="J22" s="36">
        <v>9000</v>
      </c>
      <c r="K22" s="38">
        <f t="shared" si="2"/>
        <v>0</v>
      </c>
      <c r="L22" s="35"/>
      <c r="M22" s="35">
        <v>5000</v>
      </c>
      <c r="N22" s="38">
        <f t="shared" si="9"/>
        <v>0</v>
      </c>
      <c r="O22" s="40"/>
    </row>
    <row r="23" spans="1:15" s="39" customFormat="1" ht="16.5" hidden="1" x14ac:dyDescent="0.25">
      <c r="A23" s="35" t="s">
        <v>649</v>
      </c>
      <c r="B23" s="35" t="s">
        <v>175</v>
      </c>
      <c r="C23" s="36">
        <f t="shared" si="0"/>
        <v>0</v>
      </c>
      <c r="D23" s="35"/>
      <c r="E23" s="35"/>
      <c r="F23" s="35"/>
      <c r="G23" s="37">
        <v>7000</v>
      </c>
      <c r="H23" s="37">
        <f t="shared" si="7"/>
        <v>0</v>
      </c>
      <c r="I23" s="35"/>
      <c r="J23" s="36">
        <v>9000</v>
      </c>
      <c r="K23" s="38">
        <f t="shared" si="2"/>
        <v>0</v>
      </c>
      <c r="L23" s="35"/>
      <c r="M23" s="35">
        <v>5000</v>
      </c>
      <c r="N23" s="38">
        <f t="shared" si="9"/>
        <v>0</v>
      </c>
      <c r="O23" s="40"/>
    </row>
    <row r="24" spans="1:15" s="39" customFormat="1" ht="16.5" hidden="1" x14ac:dyDescent="0.25">
      <c r="A24" s="35" t="s">
        <v>650</v>
      </c>
      <c r="B24" s="35" t="s">
        <v>651</v>
      </c>
      <c r="C24" s="36">
        <f t="shared" si="0"/>
        <v>0</v>
      </c>
      <c r="D24" s="35"/>
      <c r="E24" s="35"/>
      <c r="F24" s="35"/>
      <c r="G24" s="37">
        <v>7000</v>
      </c>
      <c r="H24" s="37">
        <f t="shared" si="7"/>
        <v>0</v>
      </c>
      <c r="I24" s="35"/>
      <c r="J24" s="36">
        <v>9000</v>
      </c>
      <c r="K24" s="38">
        <f t="shared" si="2"/>
        <v>0</v>
      </c>
      <c r="L24" s="35"/>
      <c r="M24" s="35">
        <v>5000</v>
      </c>
      <c r="N24" s="38">
        <f t="shared" si="9"/>
        <v>0</v>
      </c>
      <c r="O24" s="40"/>
    </row>
    <row r="25" spans="1:15" s="39" customFormat="1" ht="16.5" hidden="1" x14ac:dyDescent="0.25">
      <c r="A25" s="35" t="s">
        <v>331</v>
      </c>
      <c r="B25" s="35" t="s">
        <v>434</v>
      </c>
      <c r="C25" s="36">
        <f t="shared" si="0"/>
        <v>0</v>
      </c>
      <c r="D25" s="35"/>
      <c r="E25" s="35"/>
      <c r="F25" s="35"/>
      <c r="G25" s="37">
        <v>7000</v>
      </c>
      <c r="H25" s="37">
        <f t="shared" si="7"/>
        <v>0</v>
      </c>
      <c r="I25" s="35"/>
      <c r="J25" s="36">
        <v>9000</v>
      </c>
      <c r="K25" s="38">
        <f t="shared" si="2"/>
        <v>0</v>
      </c>
      <c r="L25" s="35"/>
      <c r="M25" s="35">
        <v>5000</v>
      </c>
      <c r="N25" s="38">
        <f t="shared" si="9"/>
        <v>0</v>
      </c>
      <c r="O25" s="40"/>
    </row>
    <row r="26" spans="1:15" s="39" customFormat="1" ht="16.5" x14ac:dyDescent="0.25">
      <c r="A26" s="35" t="s">
        <v>445</v>
      </c>
      <c r="B26" s="35" t="s">
        <v>697</v>
      </c>
      <c r="C26" s="36">
        <f t="shared" si="0"/>
        <v>84000</v>
      </c>
      <c r="D26" s="35"/>
      <c r="E26" s="35"/>
      <c r="F26" s="35">
        <v>12</v>
      </c>
      <c r="G26" s="37">
        <v>7000</v>
      </c>
      <c r="H26" s="37">
        <f t="shared" si="7"/>
        <v>84000</v>
      </c>
      <c r="I26" s="35"/>
      <c r="J26" s="36">
        <v>9000</v>
      </c>
      <c r="K26" s="38">
        <f t="shared" si="2"/>
        <v>0</v>
      </c>
      <c r="L26" s="35"/>
      <c r="M26" s="35">
        <v>5000</v>
      </c>
      <c r="N26" s="38">
        <f t="shared" si="9"/>
        <v>0</v>
      </c>
      <c r="O26" s="40"/>
    </row>
    <row r="27" spans="1:15" s="39" customFormat="1" ht="16.5" x14ac:dyDescent="0.25">
      <c r="A27" s="35" t="s">
        <v>734</v>
      </c>
      <c r="B27" s="35" t="s">
        <v>39</v>
      </c>
      <c r="C27" s="36">
        <f t="shared" ref="C27" si="13">SUM(H27+K27+N27)</f>
        <v>19000</v>
      </c>
      <c r="D27" s="35"/>
      <c r="E27" s="35"/>
      <c r="F27" s="35"/>
      <c r="G27" s="37">
        <v>7000</v>
      </c>
      <c r="H27" s="37">
        <f t="shared" ref="H27" si="14">SUM(F27*G27)</f>
        <v>0</v>
      </c>
      <c r="I27" s="35">
        <v>1</v>
      </c>
      <c r="J27" s="36">
        <v>9000</v>
      </c>
      <c r="K27" s="38">
        <f t="shared" ref="K27" si="15">SUM(I27*J27)</f>
        <v>9000</v>
      </c>
      <c r="L27" s="35">
        <v>2</v>
      </c>
      <c r="M27" s="35">
        <v>5000</v>
      </c>
      <c r="N27" s="38">
        <f t="shared" ref="N27" si="16">L27*M27</f>
        <v>10000</v>
      </c>
      <c r="O27" s="40"/>
    </row>
    <row r="28" spans="1:15" s="39" customFormat="1" ht="16.5" x14ac:dyDescent="0.25">
      <c r="A28" s="35" t="s">
        <v>652</v>
      </c>
      <c r="B28" s="35" t="s">
        <v>198</v>
      </c>
      <c r="C28" s="36">
        <f t="shared" si="0"/>
        <v>84000</v>
      </c>
      <c r="D28" s="35"/>
      <c r="E28" s="35"/>
      <c r="F28" s="35">
        <v>12</v>
      </c>
      <c r="G28" s="37">
        <v>7000</v>
      </c>
      <c r="H28" s="37">
        <f t="shared" si="7"/>
        <v>84000</v>
      </c>
      <c r="I28" s="35"/>
      <c r="J28" s="36">
        <v>9000</v>
      </c>
      <c r="K28" s="38">
        <f t="shared" si="2"/>
        <v>0</v>
      </c>
      <c r="L28" s="35"/>
      <c r="M28" s="35">
        <v>5000</v>
      </c>
      <c r="N28" s="38">
        <f t="shared" si="9"/>
        <v>0</v>
      </c>
      <c r="O28" s="40"/>
    </row>
    <row r="29" spans="1:15" s="39" customFormat="1" ht="16.5" x14ac:dyDescent="0.25">
      <c r="A29" s="35" t="s">
        <v>735</v>
      </c>
      <c r="B29" s="35" t="s">
        <v>736</v>
      </c>
      <c r="C29" s="36">
        <f t="shared" ref="C29" si="17">SUM(H29+K29+N29)</f>
        <v>28000</v>
      </c>
      <c r="D29" s="35"/>
      <c r="E29" s="35"/>
      <c r="F29" s="35">
        <v>4</v>
      </c>
      <c r="G29" s="37">
        <v>7000</v>
      </c>
      <c r="H29" s="37">
        <f t="shared" ref="H29" si="18">SUM(F29*G29)</f>
        <v>28000</v>
      </c>
      <c r="I29" s="35"/>
      <c r="J29" s="36">
        <v>9000</v>
      </c>
      <c r="K29" s="38">
        <f t="shared" ref="K29" si="19">SUM(I29*J29)</f>
        <v>0</v>
      </c>
      <c r="L29" s="35"/>
      <c r="M29" s="35">
        <v>5000</v>
      </c>
      <c r="N29" s="38">
        <f t="shared" ref="N29" si="20">L29*M29</f>
        <v>0</v>
      </c>
      <c r="O29" s="40"/>
    </row>
    <row r="30" spans="1:15" s="39" customFormat="1" ht="12" hidden="1" customHeight="1" x14ac:dyDescent="0.25">
      <c r="A30" s="35" t="s">
        <v>266</v>
      </c>
      <c r="B30" s="35" t="s">
        <v>120</v>
      </c>
      <c r="C30" s="36">
        <f t="shared" si="0"/>
        <v>0</v>
      </c>
      <c r="D30" s="35"/>
      <c r="E30" s="35"/>
      <c r="F30" s="35"/>
      <c r="G30" s="37">
        <v>7000</v>
      </c>
      <c r="H30" s="37">
        <f t="shared" si="7"/>
        <v>0</v>
      </c>
      <c r="I30" s="35"/>
      <c r="J30" s="36">
        <v>9000</v>
      </c>
      <c r="K30" s="38">
        <f t="shared" si="2"/>
        <v>0</v>
      </c>
      <c r="L30" s="35"/>
      <c r="M30" s="35">
        <v>5000</v>
      </c>
      <c r="N30" s="38">
        <f t="shared" si="9"/>
        <v>0</v>
      </c>
      <c r="O30" s="40"/>
    </row>
    <row r="31" spans="1:15" s="39" customFormat="1" ht="12" hidden="1" customHeight="1" x14ac:dyDescent="0.25">
      <c r="A31" s="35" t="s">
        <v>653</v>
      </c>
      <c r="B31" s="35" t="s">
        <v>654</v>
      </c>
      <c r="C31" s="36">
        <f t="shared" si="0"/>
        <v>0</v>
      </c>
      <c r="D31" s="35"/>
      <c r="E31" s="35"/>
      <c r="F31" s="35"/>
      <c r="G31" s="37">
        <v>7000</v>
      </c>
      <c r="H31" s="37">
        <f t="shared" si="7"/>
        <v>0</v>
      </c>
      <c r="I31" s="35"/>
      <c r="J31" s="36">
        <v>9000</v>
      </c>
      <c r="K31" s="38">
        <f t="shared" si="2"/>
        <v>0</v>
      </c>
      <c r="L31" s="35"/>
      <c r="M31" s="35">
        <v>5000</v>
      </c>
      <c r="N31" s="38">
        <f t="shared" si="9"/>
        <v>0</v>
      </c>
      <c r="O31" s="40"/>
    </row>
    <row r="32" spans="1:15" s="39" customFormat="1" ht="16.5" x14ac:dyDescent="0.25">
      <c r="A32" s="35" t="s">
        <v>738</v>
      </c>
      <c r="B32" s="35" t="s">
        <v>737</v>
      </c>
      <c r="C32" s="36">
        <f t="shared" si="0"/>
        <v>19000</v>
      </c>
      <c r="D32" s="35"/>
      <c r="E32" s="35"/>
      <c r="F32" s="35"/>
      <c r="G32" s="37">
        <v>7000</v>
      </c>
      <c r="H32" s="37">
        <f t="shared" si="7"/>
        <v>0</v>
      </c>
      <c r="I32" s="35">
        <v>1</v>
      </c>
      <c r="J32" s="36">
        <v>9000</v>
      </c>
      <c r="K32" s="38">
        <f t="shared" si="2"/>
        <v>9000</v>
      </c>
      <c r="L32" s="35">
        <v>2</v>
      </c>
      <c r="M32" s="35">
        <v>5000</v>
      </c>
      <c r="N32" s="38">
        <f t="shared" si="9"/>
        <v>10000</v>
      </c>
      <c r="O32" s="40"/>
    </row>
    <row r="33" spans="1:15" s="39" customFormat="1" ht="16.5" hidden="1" x14ac:dyDescent="0.25">
      <c r="A33" s="35" t="s">
        <v>655</v>
      </c>
      <c r="B33" s="35" t="s">
        <v>154</v>
      </c>
      <c r="C33" s="36">
        <f t="shared" si="0"/>
        <v>0</v>
      </c>
      <c r="D33" s="35"/>
      <c r="E33" s="35"/>
      <c r="F33" s="35"/>
      <c r="G33" s="37">
        <v>7000</v>
      </c>
      <c r="H33" s="37">
        <f t="shared" si="7"/>
        <v>0</v>
      </c>
      <c r="I33" s="35"/>
      <c r="J33" s="36">
        <v>9000</v>
      </c>
      <c r="K33" s="38">
        <f t="shared" si="2"/>
        <v>0</v>
      </c>
      <c r="L33" s="35"/>
      <c r="M33" s="35">
        <v>5000</v>
      </c>
      <c r="N33" s="38">
        <f t="shared" si="9"/>
        <v>0</v>
      </c>
      <c r="O33" s="40"/>
    </row>
    <row r="34" spans="1:15" s="39" customFormat="1" ht="16.5" hidden="1" x14ac:dyDescent="0.25">
      <c r="A34" s="35" t="s">
        <v>656</v>
      </c>
      <c r="B34" s="35" t="s">
        <v>657</v>
      </c>
      <c r="C34" s="36">
        <f t="shared" si="0"/>
        <v>0</v>
      </c>
      <c r="D34" s="35"/>
      <c r="E34" s="35"/>
      <c r="F34" s="35"/>
      <c r="G34" s="37">
        <v>7000</v>
      </c>
      <c r="H34" s="37">
        <f t="shared" si="7"/>
        <v>0</v>
      </c>
      <c r="I34" s="35"/>
      <c r="J34" s="36">
        <v>9000</v>
      </c>
      <c r="K34" s="38">
        <f t="shared" si="2"/>
        <v>0</v>
      </c>
      <c r="L34" s="35"/>
      <c r="M34" s="35">
        <v>5000</v>
      </c>
      <c r="N34" s="38">
        <f t="shared" si="9"/>
        <v>0</v>
      </c>
      <c r="O34" s="40"/>
    </row>
    <row r="35" spans="1:15" s="39" customFormat="1" ht="16.5" hidden="1" x14ac:dyDescent="0.25">
      <c r="A35" s="35" t="s">
        <v>698</v>
      </c>
      <c r="B35" s="35" t="s">
        <v>699</v>
      </c>
      <c r="C35" s="36">
        <f t="shared" si="0"/>
        <v>0</v>
      </c>
      <c r="D35" s="35"/>
      <c r="E35" s="35"/>
      <c r="F35" s="35"/>
      <c r="G35" s="37">
        <v>7000</v>
      </c>
      <c r="H35" s="37">
        <f t="shared" si="7"/>
        <v>0</v>
      </c>
      <c r="I35" s="35"/>
      <c r="J35" s="36">
        <v>9000</v>
      </c>
      <c r="K35" s="38">
        <f t="shared" si="2"/>
        <v>0</v>
      </c>
      <c r="L35" s="35"/>
      <c r="M35" s="35">
        <v>5000</v>
      </c>
      <c r="N35" s="38">
        <f t="shared" si="9"/>
        <v>0</v>
      </c>
      <c r="O35" s="40"/>
    </row>
    <row r="36" spans="1:15" s="39" customFormat="1" ht="16.5" hidden="1" x14ac:dyDescent="0.25">
      <c r="A36" s="35" t="s">
        <v>658</v>
      </c>
      <c r="B36" s="35" t="s">
        <v>469</v>
      </c>
      <c r="C36" s="36">
        <f t="shared" si="0"/>
        <v>0</v>
      </c>
      <c r="D36" s="35"/>
      <c r="E36" s="35"/>
      <c r="F36" s="35"/>
      <c r="G36" s="37">
        <v>7000</v>
      </c>
      <c r="H36" s="37">
        <f t="shared" si="7"/>
        <v>0</v>
      </c>
      <c r="I36" s="35"/>
      <c r="J36" s="36">
        <v>9000</v>
      </c>
      <c r="K36" s="38">
        <f t="shared" si="2"/>
        <v>0</v>
      </c>
      <c r="L36" s="35"/>
      <c r="M36" s="35">
        <v>5000</v>
      </c>
      <c r="N36" s="38">
        <f t="shared" si="9"/>
        <v>0</v>
      </c>
      <c r="O36" s="40"/>
    </row>
    <row r="37" spans="1:15" s="39" customFormat="1" ht="16.5" x14ac:dyDescent="0.25">
      <c r="A37" s="35" t="s">
        <v>659</v>
      </c>
      <c r="B37" s="35" t="s">
        <v>405</v>
      </c>
      <c r="C37" s="36">
        <f t="shared" si="0"/>
        <v>126000</v>
      </c>
      <c r="D37" s="35"/>
      <c r="E37" s="35"/>
      <c r="F37" s="35">
        <v>18</v>
      </c>
      <c r="G37" s="37">
        <v>7000</v>
      </c>
      <c r="H37" s="37">
        <f t="shared" si="7"/>
        <v>126000</v>
      </c>
      <c r="I37" s="35"/>
      <c r="J37" s="36">
        <v>9000</v>
      </c>
      <c r="K37" s="38">
        <f t="shared" si="2"/>
        <v>0</v>
      </c>
      <c r="L37" s="35"/>
      <c r="M37" s="35">
        <v>5000</v>
      </c>
      <c r="N37" s="38">
        <f t="shared" si="9"/>
        <v>0</v>
      </c>
      <c r="O37" s="40"/>
    </row>
    <row r="38" spans="1:15" s="39" customFormat="1" ht="16.5" hidden="1" x14ac:dyDescent="0.25">
      <c r="A38" s="35" t="s">
        <v>660</v>
      </c>
      <c r="B38" s="35" t="s">
        <v>661</v>
      </c>
      <c r="C38" s="36">
        <f t="shared" si="0"/>
        <v>0</v>
      </c>
      <c r="D38" s="35"/>
      <c r="E38" s="35"/>
      <c r="F38" s="35"/>
      <c r="G38" s="37">
        <v>7000</v>
      </c>
      <c r="H38" s="37">
        <f t="shared" si="7"/>
        <v>0</v>
      </c>
      <c r="I38" s="35"/>
      <c r="J38" s="36">
        <v>9000</v>
      </c>
      <c r="K38" s="38">
        <f t="shared" si="2"/>
        <v>0</v>
      </c>
      <c r="L38" s="35"/>
      <c r="M38" s="35">
        <v>5000</v>
      </c>
      <c r="N38" s="38">
        <f t="shared" si="9"/>
        <v>0</v>
      </c>
      <c r="O38" s="40"/>
    </row>
    <row r="39" spans="1:15" s="39" customFormat="1" ht="16.5" hidden="1" x14ac:dyDescent="0.25">
      <c r="A39" s="35" t="s">
        <v>662</v>
      </c>
      <c r="B39" s="35" t="s">
        <v>663</v>
      </c>
      <c r="C39" s="36">
        <f t="shared" si="0"/>
        <v>0</v>
      </c>
      <c r="D39" s="35"/>
      <c r="E39" s="35"/>
      <c r="F39" s="35"/>
      <c r="G39" s="37">
        <v>7000</v>
      </c>
      <c r="H39" s="37">
        <f t="shared" si="7"/>
        <v>0</v>
      </c>
      <c r="I39" s="35"/>
      <c r="J39" s="36">
        <v>9000</v>
      </c>
      <c r="K39" s="38">
        <f t="shared" si="2"/>
        <v>0</v>
      </c>
      <c r="L39" s="35"/>
      <c r="M39" s="35">
        <v>5000</v>
      </c>
      <c r="N39" s="38">
        <f t="shared" si="9"/>
        <v>0</v>
      </c>
      <c r="O39" s="40"/>
    </row>
    <row r="40" spans="1:15" s="39" customFormat="1" ht="16.5" x14ac:dyDescent="0.25">
      <c r="A40" s="35" t="s">
        <v>664</v>
      </c>
      <c r="B40" s="35" t="s">
        <v>228</v>
      </c>
      <c r="C40" s="36">
        <f t="shared" si="0"/>
        <v>77000</v>
      </c>
      <c r="D40" s="35"/>
      <c r="E40" s="35"/>
      <c r="F40" s="35">
        <v>11</v>
      </c>
      <c r="G40" s="37">
        <v>7000</v>
      </c>
      <c r="H40" s="37">
        <f t="shared" si="7"/>
        <v>77000</v>
      </c>
      <c r="I40" s="35"/>
      <c r="J40" s="36">
        <v>9000</v>
      </c>
      <c r="K40" s="38">
        <f t="shared" si="2"/>
        <v>0</v>
      </c>
      <c r="L40" s="35"/>
      <c r="M40" s="35">
        <v>5000</v>
      </c>
      <c r="N40" s="38">
        <f t="shared" si="9"/>
        <v>0</v>
      </c>
      <c r="O40" s="40"/>
    </row>
    <row r="41" spans="1:15" s="39" customFormat="1" ht="16.5" x14ac:dyDescent="0.25">
      <c r="A41" s="35" t="s">
        <v>348</v>
      </c>
      <c r="B41" s="35" t="s">
        <v>47</v>
      </c>
      <c r="C41" s="36">
        <f t="shared" si="0"/>
        <v>9000</v>
      </c>
      <c r="D41" s="35"/>
      <c r="E41" s="35"/>
      <c r="F41" s="35"/>
      <c r="G41" s="37">
        <v>7000</v>
      </c>
      <c r="H41" s="37">
        <f t="shared" si="7"/>
        <v>0</v>
      </c>
      <c r="I41" s="35">
        <v>1</v>
      </c>
      <c r="J41" s="36">
        <v>9000</v>
      </c>
      <c r="K41" s="38">
        <f t="shared" si="2"/>
        <v>9000</v>
      </c>
      <c r="L41" s="35"/>
      <c r="M41" s="35">
        <v>5000</v>
      </c>
      <c r="N41" s="38">
        <f t="shared" si="9"/>
        <v>0</v>
      </c>
      <c r="O41" s="40"/>
    </row>
    <row r="42" spans="1:15" s="39" customFormat="1" ht="16.5" x14ac:dyDescent="0.25">
      <c r="A42" s="41" t="s">
        <v>739</v>
      </c>
      <c r="B42" s="41" t="s">
        <v>740</v>
      </c>
      <c r="C42" s="36">
        <f t="shared" si="0"/>
        <v>7000</v>
      </c>
      <c r="D42" s="35"/>
      <c r="E42" s="35"/>
      <c r="F42" s="35">
        <v>1</v>
      </c>
      <c r="G42" s="37">
        <v>7000</v>
      </c>
      <c r="H42" s="37">
        <f t="shared" si="7"/>
        <v>7000</v>
      </c>
      <c r="I42" s="35"/>
      <c r="J42" s="36">
        <v>9000</v>
      </c>
      <c r="K42" s="38">
        <f t="shared" si="2"/>
        <v>0</v>
      </c>
      <c r="L42" s="35"/>
      <c r="M42" s="35">
        <v>5000</v>
      </c>
      <c r="N42" s="38">
        <f t="shared" si="9"/>
        <v>0</v>
      </c>
      <c r="O42" s="40"/>
    </row>
    <row r="43" spans="1:15" s="39" customFormat="1" ht="16.5" hidden="1" x14ac:dyDescent="0.25">
      <c r="A43" s="41" t="s">
        <v>700</v>
      </c>
      <c r="B43" s="41" t="s">
        <v>701</v>
      </c>
      <c r="C43" s="36">
        <f t="shared" si="0"/>
        <v>0</v>
      </c>
      <c r="D43" s="35"/>
      <c r="E43" s="35"/>
      <c r="F43" s="35"/>
      <c r="G43" s="37">
        <v>7000</v>
      </c>
      <c r="H43" s="37">
        <f t="shared" si="7"/>
        <v>0</v>
      </c>
      <c r="I43" s="35"/>
      <c r="J43" s="36">
        <v>9000</v>
      </c>
      <c r="K43" s="38">
        <f t="shared" si="2"/>
        <v>0</v>
      </c>
      <c r="L43" s="35"/>
      <c r="M43" s="35">
        <v>5000</v>
      </c>
      <c r="N43" s="38">
        <f t="shared" si="9"/>
        <v>0</v>
      </c>
      <c r="O43" s="40"/>
    </row>
    <row r="44" spans="1:15" s="39" customFormat="1" ht="16.5" hidden="1" x14ac:dyDescent="0.25">
      <c r="A44" s="41" t="s">
        <v>702</v>
      </c>
      <c r="B44" s="41" t="s">
        <v>703</v>
      </c>
      <c r="C44" s="36">
        <f t="shared" si="0"/>
        <v>0</v>
      </c>
      <c r="D44" s="35"/>
      <c r="E44" s="35"/>
      <c r="F44" s="35"/>
      <c r="G44" s="37">
        <v>7000</v>
      </c>
      <c r="H44" s="37">
        <f t="shared" si="7"/>
        <v>0</v>
      </c>
      <c r="I44" s="35"/>
      <c r="J44" s="36">
        <v>9000</v>
      </c>
      <c r="K44" s="38">
        <f t="shared" si="2"/>
        <v>0</v>
      </c>
      <c r="L44" s="35"/>
      <c r="M44" s="35">
        <v>5000</v>
      </c>
      <c r="N44" s="38">
        <f t="shared" si="9"/>
        <v>0</v>
      </c>
      <c r="O44" s="40"/>
    </row>
    <row r="45" spans="1:15" s="39" customFormat="1" ht="16.5" x14ac:dyDescent="0.25">
      <c r="A45" s="41" t="s">
        <v>704</v>
      </c>
      <c r="B45" s="41" t="s">
        <v>705</v>
      </c>
      <c r="C45" s="36">
        <f t="shared" si="0"/>
        <v>7000</v>
      </c>
      <c r="D45" s="35"/>
      <c r="E45" s="35"/>
      <c r="F45" s="35">
        <v>1</v>
      </c>
      <c r="G45" s="37">
        <v>7000</v>
      </c>
      <c r="H45" s="37">
        <f t="shared" si="7"/>
        <v>7000</v>
      </c>
      <c r="I45" s="35"/>
      <c r="J45" s="36">
        <v>9000</v>
      </c>
      <c r="K45" s="38">
        <f t="shared" si="2"/>
        <v>0</v>
      </c>
      <c r="L45" s="35"/>
      <c r="M45" s="35">
        <v>5000</v>
      </c>
      <c r="N45" s="38">
        <f t="shared" si="9"/>
        <v>0</v>
      </c>
      <c r="O45" s="40"/>
    </row>
    <row r="46" spans="1:15" s="39" customFormat="1" ht="16.5" hidden="1" x14ac:dyDescent="0.25">
      <c r="A46" s="41" t="s">
        <v>459</v>
      </c>
      <c r="B46" s="41" t="s">
        <v>460</v>
      </c>
      <c r="C46" s="36">
        <f t="shared" si="0"/>
        <v>0</v>
      </c>
      <c r="D46" s="35"/>
      <c r="E46" s="35"/>
      <c r="F46" s="35"/>
      <c r="G46" s="37">
        <v>7000</v>
      </c>
      <c r="H46" s="37">
        <f t="shared" si="7"/>
        <v>0</v>
      </c>
      <c r="I46" s="35"/>
      <c r="J46" s="36">
        <v>9000</v>
      </c>
      <c r="K46" s="38">
        <f t="shared" si="2"/>
        <v>0</v>
      </c>
      <c r="L46" s="35"/>
      <c r="M46" s="35">
        <v>5000</v>
      </c>
      <c r="N46" s="38">
        <f t="shared" si="9"/>
        <v>0</v>
      </c>
      <c r="O46" s="40"/>
    </row>
    <row r="47" spans="1:15" s="39" customFormat="1" ht="16.5" hidden="1" x14ac:dyDescent="0.25">
      <c r="A47" s="41" t="s">
        <v>665</v>
      </c>
      <c r="B47" s="41" t="s">
        <v>53</v>
      </c>
      <c r="C47" s="36">
        <f t="shared" si="0"/>
        <v>0</v>
      </c>
      <c r="D47" s="35"/>
      <c r="E47" s="35"/>
      <c r="F47" s="35"/>
      <c r="G47" s="37">
        <v>7000</v>
      </c>
      <c r="H47" s="37">
        <f t="shared" si="7"/>
        <v>0</v>
      </c>
      <c r="I47" s="35"/>
      <c r="J47" s="36">
        <v>9000</v>
      </c>
      <c r="K47" s="38">
        <f t="shared" si="2"/>
        <v>0</v>
      </c>
      <c r="L47" s="35"/>
      <c r="M47" s="35">
        <v>5000</v>
      </c>
      <c r="N47" s="38">
        <f t="shared" si="9"/>
        <v>0</v>
      </c>
      <c r="O47" s="40"/>
    </row>
    <row r="48" spans="1:15" s="39" customFormat="1" ht="16.5" hidden="1" x14ac:dyDescent="0.25">
      <c r="A48" s="41" t="s">
        <v>666</v>
      </c>
      <c r="B48" s="41" t="s">
        <v>364</v>
      </c>
      <c r="C48" s="36">
        <f t="shared" si="0"/>
        <v>0</v>
      </c>
      <c r="D48" s="35"/>
      <c r="E48" s="35"/>
      <c r="F48" s="35"/>
      <c r="G48" s="37">
        <v>7000</v>
      </c>
      <c r="H48" s="37">
        <f t="shared" si="7"/>
        <v>0</v>
      </c>
      <c r="I48" s="35"/>
      <c r="J48" s="36">
        <v>9000</v>
      </c>
      <c r="K48" s="38">
        <f t="shared" si="2"/>
        <v>0</v>
      </c>
      <c r="L48" s="35"/>
      <c r="M48" s="35">
        <v>5000</v>
      </c>
      <c r="N48" s="38">
        <f t="shared" si="9"/>
        <v>0</v>
      </c>
      <c r="O48" s="40"/>
    </row>
    <row r="49" spans="1:15" s="39" customFormat="1" ht="16.5" x14ac:dyDescent="0.25">
      <c r="A49" s="41" t="s">
        <v>667</v>
      </c>
      <c r="B49" s="41" t="s">
        <v>296</v>
      </c>
      <c r="C49" s="36">
        <f t="shared" si="0"/>
        <v>18000</v>
      </c>
      <c r="D49" s="35"/>
      <c r="E49" s="35"/>
      <c r="F49" s="35"/>
      <c r="G49" s="37">
        <v>7000</v>
      </c>
      <c r="H49" s="37">
        <f t="shared" si="7"/>
        <v>0</v>
      </c>
      <c r="I49" s="35">
        <v>2</v>
      </c>
      <c r="J49" s="36">
        <v>9000</v>
      </c>
      <c r="K49" s="38">
        <f t="shared" si="2"/>
        <v>18000</v>
      </c>
      <c r="L49" s="35"/>
      <c r="M49" s="35">
        <v>5000</v>
      </c>
      <c r="N49" s="38">
        <f t="shared" si="9"/>
        <v>0</v>
      </c>
      <c r="O49" s="40"/>
    </row>
    <row r="50" spans="1:15" s="39" customFormat="1" ht="16.5" hidden="1" x14ac:dyDescent="0.25">
      <c r="A50" s="41" t="s">
        <v>668</v>
      </c>
      <c r="B50" s="41" t="s">
        <v>420</v>
      </c>
      <c r="C50" s="36">
        <f t="shared" si="0"/>
        <v>0</v>
      </c>
      <c r="D50" s="35"/>
      <c r="E50" s="35"/>
      <c r="F50" s="35"/>
      <c r="G50" s="37">
        <v>7000</v>
      </c>
      <c r="H50" s="37">
        <f t="shared" si="7"/>
        <v>0</v>
      </c>
      <c r="I50" s="35"/>
      <c r="J50" s="36">
        <v>9000</v>
      </c>
      <c r="K50" s="38">
        <f t="shared" si="2"/>
        <v>0</v>
      </c>
      <c r="L50" s="35"/>
      <c r="M50" s="35">
        <v>5000</v>
      </c>
      <c r="N50" s="38">
        <f t="shared" si="9"/>
        <v>0</v>
      </c>
      <c r="O50" s="40"/>
    </row>
    <row r="51" spans="1:15" s="39" customFormat="1" ht="16.5" hidden="1" x14ac:dyDescent="0.25">
      <c r="A51" s="41" t="s">
        <v>669</v>
      </c>
      <c r="B51" s="41" t="s">
        <v>670</v>
      </c>
      <c r="C51" s="36">
        <f t="shared" si="0"/>
        <v>0</v>
      </c>
      <c r="D51" s="35"/>
      <c r="E51" s="35"/>
      <c r="F51" s="35"/>
      <c r="G51" s="37">
        <v>7000</v>
      </c>
      <c r="H51" s="37">
        <f t="shared" si="7"/>
        <v>0</v>
      </c>
      <c r="I51" s="35"/>
      <c r="J51" s="36">
        <v>9000</v>
      </c>
      <c r="K51" s="38">
        <f t="shared" si="2"/>
        <v>0</v>
      </c>
      <c r="L51" s="35"/>
      <c r="M51" s="35">
        <v>5000</v>
      </c>
      <c r="N51" s="38">
        <f t="shared" si="9"/>
        <v>0</v>
      </c>
      <c r="O51" s="40"/>
    </row>
    <row r="52" spans="1:15" s="39" customFormat="1" ht="16.5" x14ac:dyDescent="0.25">
      <c r="A52" s="41" t="s">
        <v>671</v>
      </c>
      <c r="B52" s="41" t="s">
        <v>672</v>
      </c>
      <c r="C52" s="36">
        <f t="shared" si="0"/>
        <v>39000</v>
      </c>
      <c r="D52" s="35"/>
      <c r="E52" s="35"/>
      <c r="F52" s="35">
        <v>3</v>
      </c>
      <c r="G52" s="37">
        <v>7000</v>
      </c>
      <c r="H52" s="37">
        <f t="shared" si="7"/>
        <v>21000</v>
      </c>
      <c r="I52" s="35">
        <v>2</v>
      </c>
      <c r="J52" s="36">
        <v>9000</v>
      </c>
      <c r="K52" s="38">
        <f t="shared" si="2"/>
        <v>18000</v>
      </c>
      <c r="L52" s="35"/>
      <c r="M52" s="35">
        <v>5000</v>
      </c>
      <c r="N52" s="38">
        <f t="shared" si="9"/>
        <v>0</v>
      </c>
      <c r="O52" s="40"/>
    </row>
    <row r="53" spans="1:15" s="39" customFormat="1" ht="16.5" hidden="1" x14ac:dyDescent="0.25">
      <c r="A53" s="41" t="s">
        <v>673</v>
      </c>
      <c r="B53" s="41" t="s">
        <v>674</v>
      </c>
      <c r="C53" s="36">
        <f t="shared" si="0"/>
        <v>0</v>
      </c>
      <c r="D53" s="35"/>
      <c r="E53" s="35"/>
      <c r="F53" s="35"/>
      <c r="G53" s="37">
        <v>7000</v>
      </c>
      <c r="H53" s="37">
        <f t="shared" si="7"/>
        <v>0</v>
      </c>
      <c r="I53" s="35"/>
      <c r="J53" s="36">
        <v>9000</v>
      </c>
      <c r="K53" s="38">
        <f t="shared" si="2"/>
        <v>0</v>
      </c>
      <c r="L53" s="35"/>
      <c r="M53" s="35">
        <v>5000</v>
      </c>
      <c r="N53" s="38">
        <f t="shared" si="9"/>
        <v>0</v>
      </c>
      <c r="O53" s="40"/>
    </row>
    <row r="54" spans="1:15" s="39" customFormat="1" ht="16.5" x14ac:dyDescent="0.25">
      <c r="A54" s="41" t="s">
        <v>675</v>
      </c>
      <c r="B54" s="41" t="s">
        <v>676</v>
      </c>
      <c r="C54" s="36">
        <f t="shared" si="0"/>
        <v>31000</v>
      </c>
      <c r="D54" s="35"/>
      <c r="E54" s="35"/>
      <c r="F54" s="35">
        <v>3</v>
      </c>
      <c r="G54" s="37">
        <v>7000</v>
      </c>
      <c r="H54" s="37">
        <f t="shared" si="7"/>
        <v>21000</v>
      </c>
      <c r="I54" s="35"/>
      <c r="J54" s="36">
        <v>9000</v>
      </c>
      <c r="K54" s="38">
        <f t="shared" si="2"/>
        <v>0</v>
      </c>
      <c r="L54" s="35">
        <v>2</v>
      </c>
      <c r="M54" s="35">
        <v>5000</v>
      </c>
      <c r="N54" s="38">
        <f t="shared" si="9"/>
        <v>10000</v>
      </c>
      <c r="O54" s="40"/>
    </row>
    <row r="55" spans="1:15" s="39" customFormat="1" ht="16.5" x14ac:dyDescent="0.25">
      <c r="A55" s="41" t="s">
        <v>741</v>
      </c>
      <c r="B55" s="41" t="s">
        <v>742</v>
      </c>
      <c r="C55" s="36">
        <f t="shared" si="0"/>
        <v>21000</v>
      </c>
      <c r="D55" s="35"/>
      <c r="E55" s="35"/>
      <c r="F55" s="35">
        <v>3</v>
      </c>
      <c r="G55" s="37">
        <v>7000</v>
      </c>
      <c r="H55" s="37">
        <f t="shared" si="7"/>
        <v>21000</v>
      </c>
      <c r="I55" s="35"/>
      <c r="J55" s="36">
        <v>9000</v>
      </c>
      <c r="K55" s="38">
        <f t="shared" si="2"/>
        <v>0</v>
      </c>
      <c r="L55" s="35"/>
      <c r="M55" s="35">
        <v>5000</v>
      </c>
      <c r="N55" s="38">
        <f t="shared" si="9"/>
        <v>0</v>
      </c>
      <c r="O55" s="40"/>
    </row>
    <row r="56" spans="1:15" s="39" customFormat="1" ht="16.5" x14ac:dyDescent="0.25">
      <c r="A56" s="41" t="s">
        <v>677</v>
      </c>
      <c r="B56" s="41" t="s">
        <v>201</v>
      </c>
      <c r="C56" s="36">
        <f t="shared" si="0"/>
        <v>84000</v>
      </c>
      <c r="D56" s="35"/>
      <c r="E56" s="35"/>
      <c r="F56" s="35">
        <v>12</v>
      </c>
      <c r="G56" s="37">
        <v>7000</v>
      </c>
      <c r="H56" s="37">
        <f t="shared" si="7"/>
        <v>84000</v>
      </c>
      <c r="I56" s="35"/>
      <c r="J56" s="36">
        <v>9000</v>
      </c>
      <c r="K56" s="38">
        <f t="shared" si="2"/>
        <v>0</v>
      </c>
      <c r="L56" s="35"/>
      <c r="M56" s="35">
        <v>5000</v>
      </c>
      <c r="N56" s="38">
        <f t="shared" si="9"/>
        <v>0</v>
      </c>
      <c r="O56" s="40"/>
    </row>
    <row r="57" spans="1:15" s="39" customFormat="1" ht="16.5" hidden="1" x14ac:dyDescent="0.25">
      <c r="A57" s="41" t="s">
        <v>706</v>
      </c>
      <c r="B57" s="41" t="s">
        <v>707</v>
      </c>
      <c r="C57" s="36">
        <f t="shared" si="0"/>
        <v>0</v>
      </c>
      <c r="D57" s="35"/>
      <c r="E57" s="35"/>
      <c r="F57" s="35"/>
      <c r="G57" s="37">
        <v>7000</v>
      </c>
      <c r="H57" s="37">
        <f t="shared" si="7"/>
        <v>0</v>
      </c>
      <c r="I57" s="35"/>
      <c r="J57" s="36">
        <v>9000</v>
      </c>
      <c r="K57" s="38">
        <f t="shared" si="2"/>
        <v>0</v>
      </c>
      <c r="L57" s="35"/>
      <c r="M57" s="35">
        <v>5000</v>
      </c>
      <c r="N57" s="38">
        <f t="shared" si="9"/>
        <v>0</v>
      </c>
      <c r="O57" s="40"/>
    </row>
    <row r="58" spans="1:15" s="39" customFormat="1" ht="16.5" x14ac:dyDescent="0.25">
      <c r="A58" s="41" t="s">
        <v>678</v>
      </c>
      <c r="B58" s="41" t="s">
        <v>679</v>
      </c>
      <c r="C58" s="36">
        <f t="shared" si="0"/>
        <v>35000</v>
      </c>
      <c r="D58" s="35"/>
      <c r="E58" s="35"/>
      <c r="F58" s="35">
        <v>5</v>
      </c>
      <c r="G58" s="37">
        <v>7000</v>
      </c>
      <c r="H58" s="37">
        <f t="shared" si="7"/>
        <v>35000</v>
      </c>
      <c r="I58" s="35"/>
      <c r="J58" s="36">
        <v>9000</v>
      </c>
      <c r="K58" s="38">
        <f t="shared" si="2"/>
        <v>0</v>
      </c>
      <c r="L58" s="35"/>
      <c r="M58" s="35">
        <v>5000</v>
      </c>
      <c r="N58" s="38">
        <f t="shared" si="9"/>
        <v>0</v>
      </c>
      <c r="O58" s="40"/>
    </row>
    <row r="59" spans="1:15" s="39" customFormat="1" ht="16.5" x14ac:dyDescent="0.25">
      <c r="A59" s="41" t="s">
        <v>726</v>
      </c>
      <c r="B59" s="41" t="s">
        <v>743</v>
      </c>
      <c r="C59" s="36">
        <f t="shared" si="0"/>
        <v>7000</v>
      </c>
      <c r="D59" s="35"/>
      <c r="E59" s="35"/>
      <c r="F59" s="35">
        <v>1</v>
      </c>
      <c r="G59" s="37">
        <v>7000</v>
      </c>
      <c r="H59" s="37">
        <f t="shared" si="7"/>
        <v>7000</v>
      </c>
      <c r="I59" s="35"/>
      <c r="J59" s="36">
        <v>9000</v>
      </c>
      <c r="K59" s="38">
        <f t="shared" si="2"/>
        <v>0</v>
      </c>
      <c r="L59" s="35"/>
      <c r="M59" s="35">
        <v>5000</v>
      </c>
      <c r="N59" s="38">
        <f t="shared" si="9"/>
        <v>0</v>
      </c>
      <c r="O59" s="40"/>
    </row>
    <row r="60" spans="1:15" s="39" customFormat="1" ht="16.5" x14ac:dyDescent="0.25">
      <c r="A60" s="41" t="s">
        <v>680</v>
      </c>
      <c r="B60" s="41" t="s">
        <v>681</v>
      </c>
      <c r="C60" s="36">
        <f t="shared" si="0"/>
        <v>63000</v>
      </c>
      <c r="D60" s="35"/>
      <c r="E60" s="35"/>
      <c r="F60" s="35">
        <v>9</v>
      </c>
      <c r="G60" s="37">
        <v>7000</v>
      </c>
      <c r="H60" s="37">
        <f t="shared" si="7"/>
        <v>63000</v>
      </c>
      <c r="I60" s="35"/>
      <c r="J60" s="36">
        <v>9000</v>
      </c>
      <c r="K60" s="38">
        <f t="shared" si="2"/>
        <v>0</v>
      </c>
      <c r="L60" s="35"/>
      <c r="M60" s="35">
        <v>5000</v>
      </c>
      <c r="N60" s="38">
        <f t="shared" si="9"/>
        <v>0</v>
      </c>
      <c r="O60" s="40"/>
    </row>
    <row r="61" spans="1:15" s="39" customFormat="1" ht="16.5" x14ac:dyDescent="0.25">
      <c r="A61" s="41" t="s">
        <v>744</v>
      </c>
      <c r="B61" s="41" t="s">
        <v>115</v>
      </c>
      <c r="C61" s="36">
        <f t="shared" si="0"/>
        <v>9000</v>
      </c>
      <c r="D61" s="35"/>
      <c r="E61" s="35"/>
      <c r="F61" s="35"/>
      <c r="G61" s="37">
        <v>7000</v>
      </c>
      <c r="H61" s="37">
        <f t="shared" ref="H61" si="21">SUM(F61*G61)</f>
        <v>0</v>
      </c>
      <c r="I61" s="35">
        <v>1</v>
      </c>
      <c r="J61" s="36">
        <v>9000</v>
      </c>
      <c r="K61" s="38">
        <f t="shared" ref="K61" si="22">SUM(I61*J61)</f>
        <v>9000</v>
      </c>
      <c r="L61" s="35"/>
      <c r="M61" s="35">
        <v>5000</v>
      </c>
      <c r="N61" s="38">
        <f t="shared" ref="N61" si="23">L61*M61</f>
        <v>0</v>
      </c>
      <c r="O61" s="40"/>
    </row>
    <row r="62" spans="1:15" s="39" customFormat="1" ht="16.5" x14ac:dyDescent="0.25">
      <c r="A62" s="41" t="s">
        <v>744</v>
      </c>
      <c r="B62" s="41" t="s">
        <v>77</v>
      </c>
      <c r="C62" s="36">
        <f t="shared" si="0"/>
        <v>63000</v>
      </c>
      <c r="D62" s="35"/>
      <c r="E62" s="35"/>
      <c r="F62" s="35">
        <v>9</v>
      </c>
      <c r="G62" s="37">
        <v>7000</v>
      </c>
      <c r="H62" s="37">
        <f t="shared" si="7"/>
        <v>63000</v>
      </c>
      <c r="I62" s="35"/>
      <c r="J62" s="36">
        <v>9000</v>
      </c>
      <c r="K62" s="38">
        <f t="shared" si="2"/>
        <v>0</v>
      </c>
      <c r="L62" s="35"/>
      <c r="M62" s="35">
        <v>5000</v>
      </c>
      <c r="N62" s="38">
        <f t="shared" si="9"/>
        <v>0</v>
      </c>
      <c r="O62" s="40"/>
    </row>
    <row r="63" spans="1:15" s="39" customFormat="1" ht="16.5" x14ac:dyDescent="0.25">
      <c r="A63" s="35" t="s">
        <v>682</v>
      </c>
      <c r="B63" s="35" t="s">
        <v>683</v>
      </c>
      <c r="C63" s="36">
        <f t="shared" si="0"/>
        <v>98000</v>
      </c>
      <c r="D63" s="35"/>
      <c r="E63" s="35"/>
      <c r="F63" s="35">
        <v>14</v>
      </c>
      <c r="G63" s="37">
        <v>7000</v>
      </c>
      <c r="H63" s="37">
        <f t="shared" si="7"/>
        <v>98000</v>
      </c>
      <c r="I63" s="35"/>
      <c r="J63" s="36">
        <v>9000</v>
      </c>
      <c r="K63" s="38">
        <f t="shared" si="2"/>
        <v>0</v>
      </c>
      <c r="L63" s="35"/>
      <c r="M63" s="35">
        <v>5000</v>
      </c>
      <c r="N63" s="38">
        <f t="shared" si="9"/>
        <v>0</v>
      </c>
      <c r="O63" s="40"/>
    </row>
    <row r="64" spans="1:15" s="39" customFormat="1" ht="16.5" x14ac:dyDescent="0.25">
      <c r="A64" s="35" t="s">
        <v>745</v>
      </c>
      <c r="B64" s="35" t="s">
        <v>746</v>
      </c>
      <c r="C64" s="36">
        <f t="shared" si="0"/>
        <v>7000</v>
      </c>
      <c r="D64" s="35"/>
      <c r="E64" s="35"/>
      <c r="F64" s="35">
        <v>1</v>
      </c>
      <c r="G64" s="37">
        <v>7000</v>
      </c>
      <c r="H64" s="37">
        <f t="shared" si="7"/>
        <v>7000</v>
      </c>
      <c r="I64" s="35"/>
      <c r="J64" s="36">
        <v>9000</v>
      </c>
      <c r="K64" s="38">
        <f t="shared" si="2"/>
        <v>0</v>
      </c>
      <c r="L64" s="35"/>
      <c r="M64" s="35">
        <v>5000</v>
      </c>
      <c r="N64" s="38">
        <f t="shared" si="9"/>
        <v>0</v>
      </c>
      <c r="O64" s="40"/>
    </row>
    <row r="65" spans="1:15" s="39" customFormat="1" ht="16.5" x14ac:dyDescent="0.25">
      <c r="A65" s="35" t="s">
        <v>684</v>
      </c>
      <c r="B65" s="35" t="s">
        <v>685</v>
      </c>
      <c r="C65" s="36">
        <f t="shared" si="0"/>
        <v>61000</v>
      </c>
      <c r="D65" s="35"/>
      <c r="E65" s="35"/>
      <c r="F65" s="35">
        <v>1</v>
      </c>
      <c r="G65" s="37">
        <v>7000</v>
      </c>
      <c r="H65" s="37">
        <f t="shared" si="7"/>
        <v>7000</v>
      </c>
      <c r="I65" s="35">
        <v>6</v>
      </c>
      <c r="J65" s="36">
        <v>9000</v>
      </c>
      <c r="K65" s="38">
        <f t="shared" si="2"/>
        <v>54000</v>
      </c>
      <c r="L65" s="35"/>
      <c r="M65" s="35">
        <v>5000</v>
      </c>
      <c r="N65" s="38">
        <f t="shared" si="9"/>
        <v>0</v>
      </c>
      <c r="O65" s="40"/>
    </row>
    <row r="66" spans="1:15" s="39" customFormat="1" ht="16.5" hidden="1" x14ac:dyDescent="0.25">
      <c r="A66" s="35" t="s">
        <v>722</v>
      </c>
      <c r="B66" s="35" t="s">
        <v>404</v>
      </c>
      <c r="C66" s="36">
        <f t="shared" ref="C66:C67" si="24">SUM(H66+K66+N66)</f>
        <v>0</v>
      </c>
      <c r="D66" s="35"/>
      <c r="E66" s="35"/>
      <c r="F66" s="35"/>
      <c r="G66" s="37">
        <v>7000</v>
      </c>
      <c r="H66" s="37">
        <f t="shared" ref="H66:H67" si="25">SUM(F66*G66)</f>
        <v>0</v>
      </c>
      <c r="I66" s="35"/>
      <c r="J66" s="36">
        <v>9000</v>
      </c>
      <c r="K66" s="38">
        <f t="shared" ref="K66:K67" si="26">SUM(I66*J66)</f>
        <v>0</v>
      </c>
      <c r="L66" s="35"/>
      <c r="M66" s="35">
        <v>5000</v>
      </c>
      <c r="N66" s="38">
        <f t="shared" ref="N66:N67" si="27">L66*M66</f>
        <v>0</v>
      </c>
      <c r="O66" s="40"/>
    </row>
    <row r="67" spans="1:15" s="39" customFormat="1" ht="16.5" hidden="1" x14ac:dyDescent="0.25">
      <c r="A67" s="35" t="s">
        <v>723</v>
      </c>
      <c r="B67" s="35" t="s">
        <v>395</v>
      </c>
      <c r="C67" s="36">
        <f t="shared" si="24"/>
        <v>0</v>
      </c>
      <c r="D67" s="35"/>
      <c r="E67" s="35"/>
      <c r="F67" s="35"/>
      <c r="G67" s="37">
        <v>7000</v>
      </c>
      <c r="H67" s="37">
        <f t="shared" si="25"/>
        <v>0</v>
      </c>
      <c r="I67" s="35"/>
      <c r="J67" s="36">
        <v>9000</v>
      </c>
      <c r="K67" s="38">
        <f t="shared" si="26"/>
        <v>0</v>
      </c>
      <c r="L67" s="35"/>
      <c r="M67" s="35">
        <v>5000</v>
      </c>
      <c r="N67" s="38">
        <f t="shared" si="27"/>
        <v>0</v>
      </c>
      <c r="O67" s="40"/>
    </row>
    <row r="68" spans="1:15" s="39" customFormat="1" ht="16.5" x14ac:dyDescent="0.25">
      <c r="A68" s="35" t="s">
        <v>686</v>
      </c>
      <c r="B68" s="35" t="s">
        <v>316</v>
      </c>
      <c r="C68" s="36">
        <f t="shared" si="0"/>
        <v>91000</v>
      </c>
      <c r="D68" s="35"/>
      <c r="E68" s="35"/>
      <c r="F68" s="35">
        <v>13</v>
      </c>
      <c r="G68" s="37">
        <v>7000</v>
      </c>
      <c r="H68" s="37">
        <f t="shared" si="7"/>
        <v>91000</v>
      </c>
      <c r="I68" s="35"/>
      <c r="J68" s="36">
        <v>9000</v>
      </c>
      <c r="K68" s="38">
        <f t="shared" si="2"/>
        <v>0</v>
      </c>
      <c r="L68" s="35"/>
      <c r="M68" s="35">
        <v>5000</v>
      </c>
      <c r="N68" s="38">
        <f t="shared" si="9"/>
        <v>0</v>
      </c>
      <c r="O68" s="40"/>
    </row>
    <row r="69" spans="1:15" s="39" customFormat="1" ht="16.5" hidden="1" x14ac:dyDescent="0.25">
      <c r="A69" s="35" t="s">
        <v>687</v>
      </c>
      <c r="B69" s="35" t="s">
        <v>688</v>
      </c>
      <c r="C69" s="36">
        <f t="shared" si="0"/>
        <v>0</v>
      </c>
      <c r="D69" s="35"/>
      <c r="E69" s="35"/>
      <c r="F69" s="35"/>
      <c r="G69" s="37">
        <v>7000</v>
      </c>
      <c r="H69" s="37">
        <f t="shared" si="7"/>
        <v>0</v>
      </c>
      <c r="I69" s="35"/>
      <c r="J69" s="36">
        <v>9000</v>
      </c>
      <c r="K69" s="38">
        <f t="shared" si="2"/>
        <v>0</v>
      </c>
      <c r="L69" s="35"/>
      <c r="M69" s="35">
        <v>5000</v>
      </c>
      <c r="N69" s="38">
        <f t="shared" si="9"/>
        <v>0</v>
      </c>
      <c r="O69" s="40"/>
    </row>
    <row r="70" spans="1:15" s="39" customFormat="1" ht="16.5" x14ac:dyDescent="0.25">
      <c r="A70" s="35" t="s">
        <v>708</v>
      </c>
      <c r="B70" s="35" t="s">
        <v>24</v>
      </c>
      <c r="C70" s="36">
        <f t="shared" si="0"/>
        <v>18000</v>
      </c>
      <c r="D70" s="35"/>
      <c r="E70" s="35"/>
      <c r="F70" s="35"/>
      <c r="G70" s="37">
        <v>7000</v>
      </c>
      <c r="H70" s="37">
        <f t="shared" si="7"/>
        <v>0</v>
      </c>
      <c r="I70" s="35">
        <v>2</v>
      </c>
      <c r="J70" s="36">
        <v>9000</v>
      </c>
      <c r="K70" s="38">
        <f t="shared" si="2"/>
        <v>18000</v>
      </c>
      <c r="L70" s="35"/>
      <c r="M70" s="35">
        <v>5000</v>
      </c>
      <c r="N70" s="38">
        <f t="shared" si="9"/>
        <v>0</v>
      </c>
      <c r="O70" s="40"/>
    </row>
    <row r="71" spans="1:15" s="39" customFormat="1" ht="16.5" x14ac:dyDescent="0.25">
      <c r="A71" s="35" t="s">
        <v>724</v>
      </c>
      <c r="B71" s="35" t="s">
        <v>725</v>
      </c>
      <c r="C71" s="36">
        <f t="shared" ref="C71" si="28">SUM(H71+K71+N71)</f>
        <v>21000</v>
      </c>
      <c r="D71" s="35"/>
      <c r="E71" s="35"/>
      <c r="F71" s="35">
        <v>3</v>
      </c>
      <c r="G71" s="37">
        <v>7000</v>
      </c>
      <c r="H71" s="37">
        <f t="shared" ref="H71" si="29">SUM(F71*G71)</f>
        <v>21000</v>
      </c>
      <c r="I71" s="35"/>
      <c r="J71" s="36">
        <v>9000</v>
      </c>
      <c r="K71" s="38">
        <f t="shared" ref="K71" si="30">SUM(I71*J71)</f>
        <v>0</v>
      </c>
      <c r="L71" s="35"/>
      <c r="M71" s="35">
        <v>5001</v>
      </c>
      <c r="N71" s="38">
        <f t="shared" ref="N71" si="31">L71*M71</f>
        <v>0</v>
      </c>
      <c r="O71" s="40"/>
    </row>
    <row r="72" spans="1:15" s="39" customFormat="1" ht="16.5" hidden="1" x14ac:dyDescent="0.25">
      <c r="A72" s="35" t="s">
        <v>689</v>
      </c>
      <c r="B72" s="35" t="s">
        <v>690</v>
      </c>
      <c r="C72" s="36">
        <f t="shared" si="0"/>
        <v>0</v>
      </c>
      <c r="D72" s="35"/>
      <c r="E72" s="35"/>
      <c r="F72" s="35"/>
      <c r="G72" s="37">
        <v>7000</v>
      </c>
      <c r="H72" s="37">
        <f t="shared" si="7"/>
        <v>0</v>
      </c>
      <c r="I72" s="35"/>
      <c r="J72" s="36">
        <v>9000</v>
      </c>
      <c r="K72" s="38">
        <f t="shared" si="2"/>
        <v>0</v>
      </c>
      <c r="L72" s="35"/>
      <c r="M72" s="35">
        <v>5000</v>
      </c>
      <c r="N72" s="38">
        <f t="shared" si="9"/>
        <v>0</v>
      </c>
      <c r="O72" s="40"/>
    </row>
    <row r="73" spans="1:15" s="39" customFormat="1" ht="16.5" hidden="1" x14ac:dyDescent="0.25">
      <c r="A73" s="35" t="s">
        <v>691</v>
      </c>
      <c r="B73" s="35" t="s">
        <v>692</v>
      </c>
      <c r="C73" s="36">
        <f t="shared" si="0"/>
        <v>0</v>
      </c>
      <c r="D73" s="35"/>
      <c r="E73" s="35"/>
      <c r="F73" s="35"/>
      <c r="G73" s="37">
        <v>7000</v>
      </c>
      <c r="H73" s="37">
        <f t="shared" si="7"/>
        <v>0</v>
      </c>
      <c r="I73" s="35"/>
      <c r="J73" s="36">
        <v>9000</v>
      </c>
      <c r="K73" s="38">
        <f t="shared" si="2"/>
        <v>0</v>
      </c>
      <c r="L73" s="35"/>
      <c r="M73" s="35">
        <v>5000</v>
      </c>
      <c r="N73" s="38">
        <f t="shared" si="9"/>
        <v>0</v>
      </c>
      <c r="O73" s="40"/>
    </row>
    <row r="74" spans="1:15" s="39" customFormat="1" ht="16.5" x14ac:dyDescent="0.25">
      <c r="A74" s="35" t="s">
        <v>693</v>
      </c>
      <c r="B74" s="35" t="s">
        <v>290</v>
      </c>
      <c r="C74" s="36">
        <f t="shared" si="0"/>
        <v>126000</v>
      </c>
      <c r="D74" s="35"/>
      <c r="E74" s="35"/>
      <c r="F74" s="35">
        <v>18</v>
      </c>
      <c r="G74" s="37">
        <v>7000</v>
      </c>
      <c r="H74" s="37">
        <f t="shared" si="7"/>
        <v>126000</v>
      </c>
      <c r="I74" s="35"/>
      <c r="J74" s="36">
        <v>9000</v>
      </c>
      <c r="K74" s="38">
        <f t="shared" si="2"/>
        <v>0</v>
      </c>
      <c r="L74" s="35"/>
      <c r="M74" s="35">
        <v>5000</v>
      </c>
      <c r="N74" s="38">
        <f t="shared" si="9"/>
        <v>0</v>
      </c>
      <c r="O74" s="40"/>
    </row>
    <row r="75" spans="1:15" s="39" customFormat="1" ht="16.5" x14ac:dyDescent="0.25">
      <c r="A75" s="35" t="s">
        <v>747</v>
      </c>
      <c r="B75" s="35" t="s">
        <v>748</v>
      </c>
      <c r="C75" s="36">
        <f t="shared" si="0"/>
        <v>0</v>
      </c>
      <c r="D75" s="35"/>
      <c r="E75" s="35"/>
      <c r="F75" s="35"/>
      <c r="G75" s="37">
        <v>7000</v>
      </c>
      <c r="H75" s="37">
        <f t="shared" si="7"/>
        <v>0</v>
      </c>
      <c r="I75" s="35"/>
      <c r="J75" s="36">
        <v>9000</v>
      </c>
      <c r="K75" s="38">
        <f t="shared" si="2"/>
        <v>0</v>
      </c>
      <c r="L75" s="35"/>
      <c r="M75" s="35">
        <v>5000</v>
      </c>
      <c r="N75" s="38">
        <f t="shared" si="9"/>
        <v>0</v>
      </c>
      <c r="O75" s="40"/>
    </row>
    <row r="76" spans="1:15" s="39" customFormat="1" x14ac:dyDescent="0.25"/>
    <row r="77" spans="1:15" s="39" customFormat="1" x14ac:dyDescent="0.25"/>
  </sheetData>
  <autoFilter ref="A4:O75" xr:uid="{00000000-0001-0000-0E00-000000000000}">
    <filterColumn colId="2">
      <filters>
        <filter val="112.000"/>
        <filter val="14.000"/>
        <filter val="140.000"/>
        <filter val="161.000"/>
        <filter val="18.000"/>
        <filter val="19.000"/>
        <filter val="21.000"/>
        <filter val="28.000"/>
        <filter val="35.000"/>
        <filter val="42.000"/>
        <filter val="49.000"/>
        <filter val="54.000"/>
        <filter val="56.000"/>
        <filter val="7.000"/>
        <filter val="70.000"/>
        <filter val="77.000"/>
        <filter val="84.000"/>
        <filter val="9.000"/>
        <filter val="98.000"/>
      </filters>
    </filterColumn>
  </autoFilter>
  <mergeCells count="3">
    <mergeCell ref="A1:O1"/>
    <mergeCell ref="F3:H3"/>
    <mergeCell ref="I3:K3"/>
  </mergeCells>
  <phoneticPr fontId="16" type="noConversion"/>
  <pageMargins left="1.299212598425197" right="0" top="0.74803149606299213" bottom="0.74803149606299213" header="0.31496062992125984" footer="0.31496062992125984"/>
  <pageSetup paperSize="5" scale="90" orientation="landscape" horizontalDpi="4294967293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E438-224B-468D-AF00-7A0595ED7A2C}">
  <sheetPr>
    <tabColor theme="4"/>
  </sheetPr>
  <dimension ref="A1:K947"/>
  <sheetViews>
    <sheetView workbookViewId="0">
      <selection activeCell="H16" sqref="H16"/>
    </sheetView>
  </sheetViews>
  <sheetFormatPr baseColWidth="10" defaultColWidth="14.42578125" defaultRowHeight="15" x14ac:dyDescent="0.25"/>
  <cols>
    <col min="1" max="1" width="13.42578125" customWidth="1"/>
    <col min="2" max="2" width="32.28515625" customWidth="1"/>
    <col min="3" max="3" width="15.7109375" customWidth="1"/>
    <col min="4" max="4" width="18.5703125" customWidth="1"/>
    <col min="5" max="6" width="17" customWidth="1"/>
    <col min="7" max="7" width="9.7109375" customWidth="1"/>
    <col min="8" max="8" width="13.42578125" customWidth="1"/>
    <col min="9" max="9" width="10.42578125" customWidth="1"/>
    <col min="10" max="10" width="9.42578125" customWidth="1"/>
    <col min="11" max="11" width="11.42578125" customWidth="1"/>
    <col min="12" max="22" width="10" customWidth="1"/>
  </cols>
  <sheetData>
    <row r="1" spans="1:11" x14ac:dyDescent="0.25">
      <c r="D1" s="1"/>
      <c r="E1" s="2"/>
      <c r="F1" s="1"/>
      <c r="G1" s="1"/>
      <c r="H1" s="1"/>
      <c r="I1" s="1"/>
      <c r="J1" s="1"/>
      <c r="K1" s="1"/>
    </row>
    <row r="2" spans="1:11" x14ac:dyDescent="0.25">
      <c r="A2" s="94" t="s">
        <v>752</v>
      </c>
      <c r="B2" s="94"/>
      <c r="C2" s="94"/>
      <c r="D2" s="94"/>
      <c r="E2" s="94"/>
      <c r="F2" s="94"/>
      <c r="G2" s="1"/>
      <c r="H2" s="1"/>
      <c r="I2" s="1"/>
      <c r="J2" s="1"/>
      <c r="K2" s="1"/>
    </row>
    <row r="3" spans="1:11" ht="15.75" customHeight="1" x14ac:dyDescent="0.25">
      <c r="A3" s="5"/>
      <c r="B3" s="5"/>
      <c r="C3" s="5"/>
      <c r="D3" s="5"/>
      <c r="E3" s="5"/>
      <c r="F3" s="5"/>
      <c r="G3" s="1"/>
      <c r="H3" s="1"/>
      <c r="I3" s="1"/>
      <c r="J3" s="1"/>
      <c r="K3" s="1"/>
    </row>
    <row r="4" spans="1:11" ht="42.75" customHeight="1" x14ac:dyDescent="0.25">
      <c r="A4" s="4" t="s">
        <v>0</v>
      </c>
      <c r="B4" s="4" t="s">
        <v>1</v>
      </c>
      <c r="C4" s="4" t="s">
        <v>754</v>
      </c>
      <c r="D4" s="4" t="s">
        <v>753</v>
      </c>
      <c r="E4" s="4" t="s">
        <v>3</v>
      </c>
      <c r="F4" s="4" t="s">
        <v>4</v>
      </c>
      <c r="G4" s="1"/>
      <c r="H4" s="1"/>
      <c r="I4" s="1"/>
      <c r="J4" s="1"/>
      <c r="K4" s="1"/>
    </row>
    <row r="5" spans="1:11" ht="15" customHeight="1" x14ac:dyDescent="0.25">
      <c r="A5" s="8" t="s">
        <v>755</v>
      </c>
      <c r="B5" s="8" t="s">
        <v>756</v>
      </c>
      <c r="C5" s="8" t="s">
        <v>757</v>
      </c>
      <c r="D5" s="44">
        <v>8</v>
      </c>
      <c r="E5" s="43">
        <v>46038</v>
      </c>
      <c r="F5" s="43">
        <v>46068</v>
      </c>
      <c r="G5" s="1"/>
      <c r="H5" s="1"/>
      <c r="I5" s="1"/>
      <c r="J5" s="1"/>
      <c r="K5" s="1"/>
    </row>
    <row r="6" spans="1:11" ht="15" customHeight="1" x14ac:dyDescent="0.25">
      <c r="A6" s="9" t="s">
        <v>745</v>
      </c>
      <c r="B6" s="9" t="s">
        <v>758</v>
      </c>
      <c r="C6" s="9" t="s">
        <v>759</v>
      </c>
      <c r="D6" s="44">
        <v>29</v>
      </c>
      <c r="E6" s="43">
        <v>46038</v>
      </c>
      <c r="F6" s="43">
        <v>46068</v>
      </c>
      <c r="G6" s="1"/>
      <c r="H6" s="1"/>
      <c r="I6" s="1"/>
      <c r="J6" s="1"/>
      <c r="K6" s="1"/>
    </row>
    <row r="7" spans="1:11" ht="15" customHeight="1" x14ac:dyDescent="0.25">
      <c r="A7" s="21" t="s">
        <v>760</v>
      </c>
      <c r="B7" s="21" t="s">
        <v>761</v>
      </c>
      <c r="C7" s="21" t="s">
        <v>762</v>
      </c>
      <c r="D7" s="44">
        <v>7</v>
      </c>
      <c r="E7" s="43">
        <v>46038</v>
      </c>
      <c r="F7" s="43">
        <v>46068</v>
      </c>
      <c r="G7" s="1"/>
      <c r="H7" s="1"/>
      <c r="I7" s="1"/>
      <c r="J7" s="1"/>
      <c r="K7" s="1"/>
    </row>
    <row r="8" spans="1:11" ht="15.75" customHeight="1" x14ac:dyDescent="0.25">
      <c r="D8" s="1"/>
      <c r="E8" s="2"/>
      <c r="F8" s="1"/>
      <c r="G8" s="1"/>
      <c r="H8" s="1"/>
      <c r="I8" s="1"/>
      <c r="J8" s="1"/>
      <c r="K8" s="1"/>
    </row>
    <row r="9" spans="1:11" ht="15.75" customHeight="1" x14ac:dyDescent="0.25">
      <c r="D9" s="1"/>
      <c r="E9" s="2"/>
      <c r="F9" s="1"/>
      <c r="G9" s="1"/>
      <c r="H9" s="1"/>
      <c r="I9" s="1"/>
      <c r="J9" s="1"/>
      <c r="K9" s="1"/>
    </row>
    <row r="10" spans="1:11" ht="15.75" customHeight="1" x14ac:dyDescent="0.25">
      <c r="D10" s="1"/>
      <c r="E10" s="2"/>
      <c r="F10" s="1"/>
      <c r="G10" s="1"/>
      <c r="H10" s="1"/>
      <c r="I10" s="1"/>
      <c r="J10" s="1"/>
      <c r="K10" s="1"/>
    </row>
    <row r="11" spans="1:11" ht="15.75" customHeight="1" x14ac:dyDescent="0.25">
      <c r="D11" s="1"/>
      <c r="E11" s="2"/>
      <c r="F11" s="1"/>
      <c r="G11" s="1"/>
      <c r="H11" s="1"/>
      <c r="I11" s="1"/>
      <c r="J11" s="1"/>
      <c r="K11" s="1"/>
    </row>
    <row r="12" spans="1:11" ht="15.75" customHeight="1" x14ac:dyDescent="0.25">
      <c r="D12" s="1"/>
      <c r="E12" s="2"/>
      <c r="F12" s="1"/>
      <c r="G12" s="1"/>
      <c r="H12" s="1"/>
      <c r="I12" s="1"/>
      <c r="J12" s="1"/>
      <c r="K12" s="1"/>
    </row>
    <row r="13" spans="1:11" ht="15.75" customHeight="1" x14ac:dyDescent="0.25">
      <c r="D13" s="1"/>
      <c r="E13" s="2"/>
      <c r="F13" s="1"/>
      <c r="G13" s="1"/>
      <c r="H13" s="1"/>
      <c r="I13" s="1"/>
      <c r="J13" s="1"/>
      <c r="K13" s="1"/>
    </row>
    <row r="14" spans="1:11" ht="15.75" customHeight="1" x14ac:dyDescent="0.25">
      <c r="D14" s="1"/>
      <c r="E14" s="2"/>
      <c r="F14" s="1"/>
      <c r="G14" s="1"/>
      <c r="H14" s="1"/>
      <c r="I14" s="1"/>
      <c r="J14" s="1"/>
      <c r="K14" s="1"/>
    </row>
    <row r="15" spans="1:11" ht="15.75" customHeight="1" x14ac:dyDescent="0.25">
      <c r="D15" s="1"/>
      <c r="E15" s="2"/>
      <c r="F15" s="1"/>
      <c r="G15" s="1"/>
      <c r="H15" s="1"/>
      <c r="I15" s="1"/>
      <c r="J15" s="1"/>
      <c r="K15" s="1"/>
    </row>
    <row r="16" spans="1:11" ht="15.75" customHeight="1" x14ac:dyDescent="0.25">
      <c r="D16" s="1"/>
      <c r="E16" s="2"/>
      <c r="F16" s="1"/>
      <c r="G16" s="1"/>
      <c r="H16" s="1"/>
      <c r="I16" s="1"/>
      <c r="J16" s="1"/>
      <c r="K16" s="1"/>
    </row>
    <row r="17" spans="4:11" ht="15.75" customHeight="1" x14ac:dyDescent="0.25">
      <c r="D17" s="1"/>
      <c r="E17" s="2"/>
      <c r="F17" s="1"/>
      <c r="G17" s="1"/>
      <c r="H17" s="1"/>
      <c r="I17" s="1"/>
      <c r="J17" s="1"/>
      <c r="K17" s="1"/>
    </row>
    <row r="18" spans="4:11" ht="15.75" customHeight="1" x14ac:dyDescent="0.25">
      <c r="D18" s="1"/>
      <c r="E18" s="2"/>
      <c r="F18" s="1"/>
      <c r="G18" s="1"/>
      <c r="H18" s="1"/>
      <c r="I18" s="1"/>
      <c r="J18" s="1"/>
      <c r="K18" s="1"/>
    </row>
    <row r="19" spans="4:11" ht="15.75" customHeight="1" x14ac:dyDescent="0.25">
      <c r="D19" s="1"/>
      <c r="E19" s="2"/>
      <c r="F19" s="1"/>
      <c r="G19" s="1"/>
      <c r="H19" s="1"/>
      <c r="I19" s="1"/>
      <c r="J19" s="1"/>
      <c r="K19" s="1"/>
    </row>
    <row r="20" spans="4:11" ht="15.75" customHeight="1" x14ac:dyDescent="0.25">
      <c r="D20" s="1"/>
      <c r="E20" s="2"/>
      <c r="F20" s="1"/>
      <c r="G20" s="1"/>
      <c r="H20" s="1"/>
      <c r="I20" s="1"/>
      <c r="J20" s="1"/>
      <c r="K20" s="1"/>
    </row>
    <row r="21" spans="4:11" ht="15.75" customHeight="1" x14ac:dyDescent="0.25">
      <c r="D21" s="1"/>
      <c r="E21" s="2"/>
      <c r="F21" s="1"/>
      <c r="G21" s="1"/>
      <c r="H21" s="1"/>
      <c r="I21" s="1"/>
      <c r="J21" s="1"/>
      <c r="K21" s="1"/>
    </row>
    <row r="22" spans="4:11" ht="15.75" customHeight="1" x14ac:dyDescent="0.25">
      <c r="D22" s="1"/>
      <c r="E22" s="2"/>
      <c r="F22" s="1"/>
      <c r="G22" s="1"/>
      <c r="H22" s="1"/>
      <c r="I22" s="1"/>
      <c r="J22" s="1"/>
      <c r="K22" s="1"/>
    </row>
    <row r="23" spans="4:11" ht="15.75" customHeight="1" x14ac:dyDescent="0.25">
      <c r="D23" s="1"/>
      <c r="E23" s="2"/>
      <c r="F23" s="1"/>
      <c r="G23" s="1"/>
      <c r="H23" s="1"/>
      <c r="I23" s="1"/>
      <c r="J23" s="1"/>
      <c r="K23" s="1"/>
    </row>
    <row r="24" spans="4:11" ht="15.75" customHeight="1" x14ac:dyDescent="0.25">
      <c r="D24" s="1"/>
      <c r="E24" s="2"/>
      <c r="F24" s="1"/>
      <c r="G24" s="1"/>
      <c r="H24" s="1"/>
      <c r="I24" s="1"/>
      <c r="J24" s="1"/>
      <c r="K24" s="1"/>
    </row>
    <row r="25" spans="4:11" ht="15.75" customHeight="1" x14ac:dyDescent="0.25">
      <c r="D25" s="1"/>
      <c r="E25" s="2"/>
      <c r="F25" s="1"/>
      <c r="G25" s="1"/>
      <c r="H25" s="1"/>
      <c r="I25" s="1"/>
      <c r="J25" s="1"/>
      <c r="K25" s="1"/>
    </row>
    <row r="26" spans="4:11" ht="15.75" customHeight="1" x14ac:dyDescent="0.25">
      <c r="D26" s="1"/>
      <c r="E26" s="2"/>
      <c r="F26" s="1"/>
      <c r="G26" s="1"/>
      <c r="H26" s="1"/>
      <c r="I26" s="1"/>
      <c r="J26" s="1"/>
      <c r="K26" s="1"/>
    </row>
    <row r="27" spans="4:11" ht="15.75" customHeight="1" x14ac:dyDescent="0.25">
      <c r="D27" s="1"/>
      <c r="E27" s="2"/>
      <c r="F27" s="1"/>
      <c r="G27" s="1"/>
      <c r="H27" s="1"/>
      <c r="I27" s="1"/>
      <c r="J27" s="1"/>
      <c r="K27" s="1"/>
    </row>
    <row r="28" spans="4:11" ht="15.75" customHeight="1" x14ac:dyDescent="0.25">
      <c r="D28" s="1"/>
      <c r="E28" s="2"/>
      <c r="F28" s="1"/>
      <c r="G28" s="1"/>
      <c r="H28" s="1"/>
      <c r="I28" s="1"/>
      <c r="J28" s="1"/>
      <c r="K28" s="1"/>
    </row>
    <row r="29" spans="4:11" ht="15.75" customHeight="1" x14ac:dyDescent="0.25">
      <c r="D29" s="1"/>
      <c r="E29" s="2"/>
      <c r="F29" s="1"/>
      <c r="G29" s="1"/>
      <c r="H29" s="1"/>
      <c r="I29" s="1"/>
      <c r="J29" s="1"/>
      <c r="K29" s="1"/>
    </row>
    <row r="30" spans="4:11" ht="15.75" customHeight="1" x14ac:dyDescent="0.25">
      <c r="D30" s="1"/>
      <c r="E30" s="2"/>
      <c r="F30" s="1"/>
      <c r="G30" s="1"/>
      <c r="H30" s="1"/>
      <c r="I30" s="1"/>
      <c r="J30" s="1"/>
      <c r="K30" s="1"/>
    </row>
    <row r="31" spans="4:11" ht="15.75" customHeight="1" x14ac:dyDescent="0.25">
      <c r="D31" s="1"/>
      <c r="E31" s="2"/>
      <c r="F31" s="1"/>
      <c r="G31" s="1"/>
      <c r="H31" s="1"/>
      <c r="I31" s="1"/>
      <c r="J31" s="1"/>
      <c r="K31" s="1"/>
    </row>
    <row r="32" spans="4:11" ht="15.75" customHeight="1" x14ac:dyDescent="0.25">
      <c r="D32" s="1"/>
      <c r="E32" s="2"/>
      <c r="F32" s="1"/>
      <c r="G32" s="1"/>
      <c r="H32" s="1"/>
      <c r="I32" s="1"/>
      <c r="J32" s="1"/>
      <c r="K32" s="1"/>
    </row>
    <row r="33" spans="4:11" ht="15.75" customHeight="1" x14ac:dyDescent="0.25">
      <c r="D33" s="1"/>
      <c r="E33" s="2"/>
      <c r="F33" s="1"/>
      <c r="G33" s="1"/>
      <c r="H33" s="1"/>
      <c r="I33" s="1"/>
      <c r="J33" s="1"/>
      <c r="K33" s="1"/>
    </row>
    <row r="34" spans="4:11" ht="15.75" customHeight="1" x14ac:dyDescent="0.25">
      <c r="D34" s="1"/>
      <c r="E34" s="2"/>
      <c r="F34" s="1"/>
      <c r="G34" s="1"/>
      <c r="H34" s="1"/>
      <c r="I34" s="1"/>
      <c r="J34" s="1"/>
      <c r="K34" s="1"/>
    </row>
    <row r="35" spans="4:11" ht="15.75" customHeight="1" x14ac:dyDescent="0.25">
      <c r="D35" s="1"/>
      <c r="E35" s="2"/>
      <c r="F35" s="1"/>
      <c r="G35" s="1"/>
      <c r="H35" s="1"/>
      <c r="I35" s="1"/>
      <c r="J35" s="1"/>
      <c r="K35" s="1"/>
    </row>
    <row r="36" spans="4:11" ht="15.75" customHeight="1" x14ac:dyDescent="0.25">
      <c r="D36" s="1"/>
      <c r="E36" s="2"/>
      <c r="F36" s="1"/>
      <c r="G36" s="1"/>
      <c r="H36" s="1"/>
      <c r="I36" s="1"/>
      <c r="J36" s="1"/>
      <c r="K36" s="1"/>
    </row>
    <row r="37" spans="4:11" ht="15.75" customHeight="1" x14ac:dyDescent="0.25">
      <c r="D37" s="1"/>
      <c r="E37" s="2"/>
      <c r="F37" s="1"/>
      <c r="G37" s="1"/>
      <c r="H37" s="1"/>
      <c r="I37" s="1"/>
      <c r="J37" s="1"/>
      <c r="K37" s="1"/>
    </row>
    <row r="38" spans="4:11" ht="15.75" customHeight="1" x14ac:dyDescent="0.25">
      <c r="D38" s="1"/>
      <c r="E38" s="2"/>
      <c r="F38" s="1"/>
      <c r="G38" s="1"/>
      <c r="H38" s="1"/>
      <c r="I38" s="1"/>
      <c r="J38" s="1"/>
      <c r="K38" s="1"/>
    </row>
    <row r="39" spans="4:11" ht="15.75" customHeight="1" x14ac:dyDescent="0.25">
      <c r="D39" s="1"/>
      <c r="E39" s="2"/>
      <c r="F39" s="1"/>
      <c r="G39" s="1"/>
      <c r="H39" s="1"/>
      <c r="I39" s="1"/>
      <c r="J39" s="1"/>
      <c r="K39" s="1"/>
    </row>
    <row r="40" spans="4:11" ht="15.75" customHeight="1" x14ac:dyDescent="0.25">
      <c r="D40" s="1"/>
      <c r="E40" s="2"/>
      <c r="F40" s="1"/>
      <c r="G40" s="1"/>
      <c r="H40" s="1"/>
      <c r="I40" s="1"/>
      <c r="J40" s="1"/>
      <c r="K40" s="1"/>
    </row>
    <row r="41" spans="4:11" ht="15.75" customHeight="1" x14ac:dyDescent="0.25">
      <c r="D41" s="1"/>
      <c r="E41" s="2"/>
      <c r="F41" s="1"/>
      <c r="G41" s="1"/>
      <c r="H41" s="1"/>
      <c r="I41" s="1"/>
      <c r="J41" s="1"/>
      <c r="K41" s="1"/>
    </row>
    <row r="42" spans="4:11" ht="15.75" customHeight="1" x14ac:dyDescent="0.25">
      <c r="D42" s="1"/>
      <c r="E42" s="2"/>
      <c r="F42" s="1"/>
      <c r="G42" s="1"/>
      <c r="H42" s="1"/>
      <c r="I42" s="1"/>
      <c r="J42" s="1"/>
      <c r="K42" s="1"/>
    </row>
    <row r="43" spans="4:11" ht="15.75" customHeight="1" x14ac:dyDescent="0.25">
      <c r="D43" s="1"/>
      <c r="E43" s="2"/>
      <c r="F43" s="1"/>
      <c r="G43" s="1"/>
      <c r="H43" s="1"/>
      <c r="I43" s="1"/>
      <c r="J43" s="1"/>
      <c r="K43" s="1"/>
    </row>
    <row r="44" spans="4:11" ht="15.75" customHeight="1" x14ac:dyDescent="0.25">
      <c r="D44" s="1"/>
      <c r="E44" s="2"/>
      <c r="F44" s="1"/>
      <c r="G44" s="1"/>
      <c r="H44" s="1"/>
      <c r="I44" s="1"/>
      <c r="J44" s="1"/>
      <c r="K44" s="1"/>
    </row>
    <row r="45" spans="4:11" ht="15.75" customHeight="1" x14ac:dyDescent="0.25">
      <c r="D45" s="1"/>
      <c r="E45" s="2"/>
      <c r="F45" s="1"/>
      <c r="G45" s="1"/>
      <c r="H45" s="1"/>
      <c r="I45" s="1"/>
      <c r="J45" s="1"/>
      <c r="K45" s="1"/>
    </row>
    <row r="46" spans="4:11" ht="15.75" customHeight="1" x14ac:dyDescent="0.25">
      <c r="D46" s="1"/>
      <c r="E46" s="2"/>
      <c r="F46" s="1"/>
      <c r="G46" s="1"/>
      <c r="H46" s="1"/>
      <c r="I46" s="1"/>
      <c r="J46" s="1"/>
      <c r="K46" s="1"/>
    </row>
    <row r="47" spans="4:11" ht="15.75" customHeight="1" x14ac:dyDescent="0.25">
      <c r="D47" s="1"/>
      <c r="E47" s="2"/>
      <c r="F47" s="1"/>
      <c r="G47" s="1"/>
      <c r="H47" s="1"/>
      <c r="I47" s="1"/>
      <c r="J47" s="1"/>
      <c r="K47" s="1"/>
    </row>
    <row r="48" spans="4:11" ht="15.75" customHeight="1" x14ac:dyDescent="0.25">
      <c r="D48" s="1"/>
      <c r="E48" s="2"/>
      <c r="F48" s="1"/>
      <c r="G48" s="1"/>
      <c r="H48" s="1"/>
      <c r="I48" s="1"/>
      <c r="J48" s="1"/>
      <c r="K48" s="1"/>
    </row>
    <row r="49" spans="4:11" ht="15.75" customHeight="1" x14ac:dyDescent="0.25">
      <c r="D49" s="1"/>
      <c r="E49" s="2"/>
      <c r="F49" s="1"/>
      <c r="G49" s="1"/>
      <c r="H49" s="1"/>
      <c r="I49" s="1"/>
      <c r="J49" s="1"/>
      <c r="K49" s="1"/>
    </row>
    <row r="50" spans="4:11" ht="15.75" customHeight="1" x14ac:dyDescent="0.25">
      <c r="D50" s="1"/>
      <c r="E50" s="2"/>
      <c r="F50" s="1"/>
      <c r="G50" s="1"/>
      <c r="H50" s="1"/>
      <c r="I50" s="1"/>
      <c r="J50" s="1"/>
      <c r="K50" s="1"/>
    </row>
    <row r="51" spans="4:11" ht="15.75" customHeight="1" x14ac:dyDescent="0.25">
      <c r="D51" s="1"/>
      <c r="E51" s="2"/>
      <c r="F51" s="1"/>
      <c r="G51" s="1"/>
      <c r="H51" s="1"/>
      <c r="I51" s="1"/>
      <c r="J51" s="1"/>
      <c r="K51" s="1"/>
    </row>
    <row r="52" spans="4:11" ht="15.75" customHeight="1" x14ac:dyDescent="0.25">
      <c r="D52" s="1"/>
      <c r="E52" s="2"/>
      <c r="F52" s="1"/>
      <c r="G52" s="1"/>
      <c r="H52" s="1"/>
      <c r="I52" s="1"/>
      <c r="J52" s="1"/>
      <c r="K52" s="1"/>
    </row>
    <row r="53" spans="4:11" ht="15.75" customHeight="1" x14ac:dyDescent="0.25">
      <c r="D53" s="1"/>
      <c r="E53" s="2"/>
      <c r="F53" s="1"/>
      <c r="G53" s="1"/>
      <c r="H53" s="1"/>
      <c r="I53" s="1"/>
      <c r="J53" s="1"/>
      <c r="K53" s="1"/>
    </row>
    <row r="54" spans="4:11" ht="15.75" customHeight="1" x14ac:dyDescent="0.25">
      <c r="D54" s="1"/>
      <c r="E54" s="2"/>
      <c r="F54" s="1"/>
      <c r="G54" s="1"/>
      <c r="H54" s="1"/>
      <c r="I54" s="1"/>
      <c r="J54" s="1"/>
      <c r="K54" s="1"/>
    </row>
    <row r="55" spans="4:11" ht="15.75" customHeight="1" x14ac:dyDescent="0.25">
      <c r="D55" s="1"/>
      <c r="E55" s="2"/>
      <c r="F55" s="1"/>
      <c r="G55" s="1"/>
      <c r="H55" s="1"/>
      <c r="I55" s="1"/>
      <c r="J55" s="1"/>
      <c r="K55" s="1"/>
    </row>
    <row r="56" spans="4:11" ht="15.75" customHeight="1" x14ac:dyDescent="0.25">
      <c r="D56" s="1"/>
      <c r="E56" s="2"/>
      <c r="F56" s="1"/>
      <c r="G56" s="1"/>
      <c r="H56" s="1"/>
      <c r="I56" s="1"/>
      <c r="J56" s="1"/>
      <c r="K56" s="1"/>
    </row>
    <row r="57" spans="4:11" ht="15.75" customHeight="1" x14ac:dyDescent="0.25">
      <c r="D57" s="1"/>
      <c r="E57" s="2"/>
      <c r="F57" s="1"/>
      <c r="G57" s="1"/>
      <c r="H57" s="1"/>
      <c r="I57" s="1"/>
      <c r="J57" s="1"/>
      <c r="K57" s="1"/>
    </row>
    <row r="58" spans="4:11" ht="15.75" customHeight="1" x14ac:dyDescent="0.25">
      <c r="D58" s="1"/>
      <c r="E58" s="2"/>
      <c r="F58" s="1"/>
      <c r="G58" s="1"/>
      <c r="H58" s="1"/>
      <c r="I58" s="1"/>
      <c r="J58" s="1"/>
      <c r="K58" s="1"/>
    </row>
    <row r="59" spans="4:11" ht="15.75" customHeight="1" x14ac:dyDescent="0.25">
      <c r="D59" s="1"/>
      <c r="E59" s="2"/>
      <c r="F59" s="1"/>
      <c r="G59" s="1"/>
      <c r="H59" s="1"/>
      <c r="I59" s="1"/>
      <c r="J59" s="1"/>
      <c r="K59" s="1"/>
    </row>
    <row r="60" spans="4:11" ht="15.75" customHeight="1" x14ac:dyDescent="0.25">
      <c r="D60" s="1"/>
      <c r="E60" s="2"/>
      <c r="F60" s="1"/>
      <c r="G60" s="1"/>
      <c r="H60" s="1"/>
      <c r="I60" s="1"/>
      <c r="J60" s="1"/>
      <c r="K60" s="1"/>
    </row>
    <row r="61" spans="4:11" ht="15.75" customHeight="1" x14ac:dyDescent="0.25">
      <c r="D61" s="1"/>
      <c r="E61" s="2"/>
      <c r="F61" s="1"/>
      <c r="G61" s="1"/>
      <c r="H61" s="1"/>
      <c r="I61" s="1"/>
      <c r="J61" s="1"/>
      <c r="K61" s="1"/>
    </row>
    <row r="62" spans="4:11" ht="15.75" customHeight="1" x14ac:dyDescent="0.25">
      <c r="D62" s="1"/>
      <c r="E62" s="2"/>
      <c r="F62" s="1"/>
      <c r="G62" s="1"/>
      <c r="H62" s="1"/>
      <c r="I62" s="1"/>
      <c r="J62" s="1"/>
      <c r="K62" s="1"/>
    </row>
    <row r="63" spans="4:11" ht="15.75" customHeight="1" x14ac:dyDescent="0.25">
      <c r="D63" s="1"/>
      <c r="E63" s="2"/>
      <c r="F63" s="1"/>
      <c r="G63" s="1"/>
      <c r="H63" s="1"/>
      <c r="I63" s="1"/>
      <c r="J63" s="1"/>
      <c r="K63" s="1"/>
    </row>
    <row r="64" spans="4:11" ht="15.75" customHeight="1" x14ac:dyDescent="0.25">
      <c r="D64" s="1"/>
      <c r="E64" s="2"/>
      <c r="F64" s="1"/>
      <c r="G64" s="1"/>
      <c r="H64" s="1"/>
      <c r="I64" s="1"/>
      <c r="J64" s="1"/>
      <c r="K64" s="1"/>
    </row>
    <row r="65" spans="4:11" ht="15.75" customHeight="1" x14ac:dyDescent="0.25">
      <c r="D65" s="1"/>
      <c r="E65" s="2"/>
      <c r="F65" s="1"/>
      <c r="G65" s="1"/>
      <c r="H65" s="1"/>
      <c r="I65" s="1"/>
      <c r="J65" s="1"/>
      <c r="K65" s="1"/>
    </row>
    <row r="66" spans="4:11" ht="15.75" customHeight="1" x14ac:dyDescent="0.25">
      <c r="D66" s="1"/>
      <c r="E66" s="2"/>
      <c r="F66" s="1"/>
      <c r="G66" s="1"/>
      <c r="H66" s="1"/>
      <c r="I66" s="1"/>
      <c r="J66" s="1"/>
      <c r="K66" s="1"/>
    </row>
    <row r="67" spans="4:11" ht="15.75" customHeight="1" x14ac:dyDescent="0.25">
      <c r="D67" s="1"/>
      <c r="E67" s="2"/>
      <c r="F67" s="1"/>
      <c r="G67" s="1"/>
      <c r="H67" s="1"/>
      <c r="I67" s="1"/>
      <c r="J67" s="1"/>
      <c r="K67" s="1"/>
    </row>
    <row r="68" spans="4:11" ht="15.75" customHeight="1" x14ac:dyDescent="0.25">
      <c r="D68" s="1"/>
      <c r="E68" s="2"/>
      <c r="F68" s="1"/>
      <c r="G68" s="1"/>
      <c r="H68" s="1"/>
      <c r="I68" s="1"/>
      <c r="J68" s="1"/>
      <c r="K68" s="1"/>
    </row>
    <row r="69" spans="4:11" ht="15.75" customHeight="1" x14ac:dyDescent="0.25">
      <c r="D69" s="1"/>
      <c r="E69" s="2"/>
      <c r="F69" s="1"/>
      <c r="G69" s="1"/>
      <c r="H69" s="1"/>
      <c r="I69" s="1"/>
      <c r="J69" s="1"/>
      <c r="K69" s="1"/>
    </row>
    <row r="70" spans="4:11" ht="15.75" customHeight="1" x14ac:dyDescent="0.25">
      <c r="D70" s="1"/>
      <c r="E70" s="2"/>
      <c r="F70" s="1"/>
      <c r="G70" s="1"/>
      <c r="H70" s="1"/>
      <c r="I70" s="1"/>
      <c r="J70" s="1"/>
      <c r="K70" s="1"/>
    </row>
    <row r="71" spans="4:11" ht="15.75" customHeight="1" x14ac:dyDescent="0.25">
      <c r="D71" s="1"/>
      <c r="E71" s="2"/>
      <c r="F71" s="1"/>
      <c r="G71" s="1"/>
      <c r="H71" s="1"/>
      <c r="I71" s="1"/>
      <c r="J71" s="1"/>
      <c r="K71" s="1"/>
    </row>
    <row r="72" spans="4:11" ht="15.75" customHeight="1" x14ac:dyDescent="0.25">
      <c r="D72" s="1"/>
      <c r="E72" s="2"/>
      <c r="F72" s="1"/>
      <c r="G72" s="1"/>
      <c r="H72" s="1"/>
      <c r="I72" s="1"/>
      <c r="J72" s="1"/>
      <c r="K72" s="1"/>
    </row>
    <row r="73" spans="4:11" ht="15.75" customHeight="1" x14ac:dyDescent="0.25">
      <c r="D73" s="1"/>
      <c r="E73" s="2"/>
      <c r="F73" s="1"/>
      <c r="G73" s="1"/>
      <c r="H73" s="1"/>
      <c r="I73" s="1"/>
      <c r="J73" s="1"/>
      <c r="K73" s="1"/>
    </row>
    <row r="74" spans="4:11" ht="15.75" customHeight="1" x14ac:dyDescent="0.25">
      <c r="D74" s="1"/>
      <c r="E74" s="2"/>
      <c r="F74" s="1"/>
      <c r="G74" s="1"/>
      <c r="H74" s="1"/>
      <c r="I74" s="1"/>
      <c r="J74" s="1"/>
      <c r="K74" s="1"/>
    </row>
    <row r="75" spans="4:11" ht="15.75" customHeight="1" x14ac:dyDescent="0.25">
      <c r="D75" s="1"/>
      <c r="E75" s="2"/>
      <c r="F75" s="1"/>
      <c r="G75" s="1"/>
      <c r="H75" s="1"/>
      <c r="I75" s="1"/>
      <c r="J75" s="1"/>
      <c r="K75" s="1"/>
    </row>
    <row r="76" spans="4:11" ht="15.75" customHeight="1" x14ac:dyDescent="0.25">
      <c r="D76" s="1"/>
      <c r="E76" s="2"/>
      <c r="F76" s="1"/>
      <c r="G76" s="1"/>
      <c r="H76" s="1"/>
      <c r="I76" s="1"/>
      <c r="J76" s="1"/>
      <c r="K76" s="1"/>
    </row>
    <row r="77" spans="4:11" ht="15.75" customHeight="1" x14ac:dyDescent="0.25">
      <c r="D77" s="1"/>
      <c r="E77" s="2"/>
      <c r="F77" s="1"/>
      <c r="G77" s="1"/>
      <c r="H77" s="1"/>
      <c r="I77" s="1"/>
      <c r="J77" s="1"/>
      <c r="K77" s="1"/>
    </row>
    <row r="78" spans="4:11" ht="15.75" customHeight="1" x14ac:dyDescent="0.25">
      <c r="D78" s="1"/>
      <c r="E78" s="2"/>
      <c r="F78" s="1"/>
      <c r="G78" s="1"/>
      <c r="H78" s="1"/>
      <c r="I78" s="1"/>
      <c r="J78" s="1"/>
      <c r="K78" s="1"/>
    </row>
    <row r="79" spans="4:11" ht="15.75" customHeight="1" x14ac:dyDescent="0.25">
      <c r="D79" s="1"/>
      <c r="E79" s="2"/>
      <c r="F79" s="1"/>
      <c r="G79" s="1"/>
      <c r="H79" s="1"/>
      <c r="I79" s="1"/>
      <c r="J79" s="1"/>
      <c r="K79" s="1"/>
    </row>
    <row r="80" spans="4:11" ht="15.75" customHeight="1" x14ac:dyDescent="0.25">
      <c r="D80" s="1"/>
      <c r="E80" s="2"/>
      <c r="F80" s="1"/>
      <c r="G80" s="1"/>
      <c r="H80" s="1"/>
      <c r="I80" s="1"/>
      <c r="J80" s="1"/>
      <c r="K80" s="1"/>
    </row>
    <row r="81" spans="4:11" ht="15.75" customHeight="1" x14ac:dyDescent="0.25">
      <c r="D81" s="1"/>
      <c r="E81" s="2"/>
      <c r="F81" s="1"/>
      <c r="G81" s="1"/>
      <c r="H81" s="1"/>
      <c r="I81" s="1"/>
      <c r="J81" s="1"/>
      <c r="K81" s="1"/>
    </row>
    <row r="82" spans="4:11" ht="15.75" customHeight="1" x14ac:dyDescent="0.25">
      <c r="D82" s="1"/>
      <c r="E82" s="2"/>
      <c r="F82" s="1"/>
      <c r="G82" s="1"/>
      <c r="H82" s="1"/>
      <c r="I82" s="1"/>
      <c r="J82" s="1"/>
      <c r="K82" s="1"/>
    </row>
    <row r="83" spans="4:11" ht="15.75" customHeight="1" x14ac:dyDescent="0.25">
      <c r="D83" s="1"/>
      <c r="E83" s="2"/>
      <c r="F83" s="1"/>
      <c r="G83" s="1"/>
      <c r="H83" s="1"/>
      <c r="I83" s="1"/>
      <c r="J83" s="1"/>
      <c r="K83" s="1"/>
    </row>
    <row r="84" spans="4:11" ht="15.75" customHeight="1" x14ac:dyDescent="0.25">
      <c r="D84" s="1"/>
      <c r="E84" s="2"/>
      <c r="F84" s="1"/>
      <c r="G84" s="1"/>
      <c r="H84" s="1"/>
      <c r="I84" s="1"/>
      <c r="J84" s="1"/>
      <c r="K84" s="1"/>
    </row>
    <row r="85" spans="4:11" ht="15.75" customHeight="1" x14ac:dyDescent="0.25">
      <c r="D85" s="1"/>
      <c r="E85" s="2"/>
      <c r="F85" s="1"/>
      <c r="G85" s="1"/>
      <c r="H85" s="1"/>
      <c r="I85" s="1"/>
      <c r="J85" s="1"/>
      <c r="K85" s="1"/>
    </row>
    <row r="86" spans="4:11" ht="15.75" customHeight="1" x14ac:dyDescent="0.25">
      <c r="D86" s="1"/>
      <c r="E86" s="2"/>
      <c r="F86" s="1"/>
      <c r="G86" s="1"/>
      <c r="H86" s="1"/>
      <c r="I86" s="1"/>
      <c r="J86" s="1"/>
      <c r="K86" s="1"/>
    </row>
    <row r="87" spans="4:11" ht="15.75" customHeight="1" x14ac:dyDescent="0.25">
      <c r="D87" s="1"/>
      <c r="E87" s="2"/>
      <c r="F87" s="1"/>
      <c r="G87" s="1"/>
      <c r="H87" s="1"/>
      <c r="I87" s="1"/>
      <c r="J87" s="1"/>
      <c r="K87" s="1"/>
    </row>
    <row r="88" spans="4:11" ht="15.75" customHeight="1" x14ac:dyDescent="0.25">
      <c r="D88" s="1"/>
      <c r="E88" s="2"/>
      <c r="F88" s="1"/>
      <c r="G88" s="1"/>
      <c r="H88" s="1"/>
      <c r="I88" s="1"/>
      <c r="J88" s="1"/>
      <c r="K88" s="1"/>
    </row>
    <row r="89" spans="4:11" ht="15.75" customHeight="1" x14ac:dyDescent="0.25">
      <c r="D89" s="1"/>
      <c r="E89" s="2"/>
      <c r="F89" s="1"/>
      <c r="G89" s="1"/>
      <c r="H89" s="1"/>
      <c r="I89" s="1"/>
      <c r="J89" s="1"/>
      <c r="K89" s="1"/>
    </row>
    <row r="90" spans="4:11" ht="15.75" customHeight="1" x14ac:dyDescent="0.25">
      <c r="D90" s="1"/>
      <c r="E90" s="2"/>
      <c r="F90" s="1"/>
      <c r="G90" s="1"/>
      <c r="H90" s="1"/>
      <c r="I90" s="1"/>
      <c r="J90" s="1"/>
      <c r="K90" s="1"/>
    </row>
    <row r="91" spans="4:11" ht="15.75" customHeight="1" x14ac:dyDescent="0.25">
      <c r="D91" s="1"/>
      <c r="E91" s="2"/>
      <c r="F91" s="1"/>
      <c r="G91" s="1"/>
      <c r="H91" s="1"/>
      <c r="I91" s="1"/>
      <c r="J91" s="1"/>
      <c r="K91" s="1"/>
    </row>
    <row r="92" spans="4:11" ht="15.75" customHeight="1" x14ac:dyDescent="0.25">
      <c r="D92" s="1"/>
      <c r="E92" s="2"/>
      <c r="F92" s="1"/>
      <c r="G92" s="1"/>
      <c r="H92" s="1"/>
      <c r="I92" s="1"/>
      <c r="J92" s="1"/>
      <c r="K92" s="1"/>
    </row>
    <row r="93" spans="4:11" ht="15.75" customHeight="1" x14ac:dyDescent="0.25">
      <c r="D93" s="1"/>
      <c r="E93" s="2"/>
      <c r="F93" s="1"/>
      <c r="G93" s="1"/>
      <c r="H93" s="1"/>
      <c r="I93" s="1"/>
      <c r="J93" s="1"/>
      <c r="K93" s="1"/>
    </row>
    <row r="94" spans="4:11" ht="15.75" customHeight="1" x14ac:dyDescent="0.25">
      <c r="D94" s="1"/>
      <c r="E94" s="2"/>
      <c r="F94" s="1"/>
      <c r="G94" s="1"/>
      <c r="H94" s="1"/>
      <c r="I94" s="1"/>
      <c r="J94" s="1"/>
      <c r="K94" s="1"/>
    </row>
    <row r="95" spans="4:11" ht="15.75" customHeight="1" x14ac:dyDescent="0.25">
      <c r="D95" s="1"/>
      <c r="E95" s="2"/>
      <c r="F95" s="1"/>
      <c r="G95" s="1"/>
      <c r="H95" s="1"/>
      <c r="I95" s="1"/>
      <c r="J95" s="1"/>
      <c r="K95" s="1"/>
    </row>
    <row r="96" spans="4:11" ht="15.75" customHeight="1" x14ac:dyDescent="0.25">
      <c r="D96" s="1"/>
      <c r="E96" s="2"/>
      <c r="F96" s="1"/>
      <c r="G96" s="1"/>
      <c r="H96" s="1"/>
      <c r="I96" s="1"/>
      <c r="J96" s="1"/>
      <c r="K96" s="1"/>
    </row>
    <row r="97" spans="4:11" ht="15.75" customHeight="1" x14ac:dyDescent="0.25">
      <c r="D97" s="1"/>
      <c r="E97" s="2"/>
      <c r="F97" s="1"/>
      <c r="G97" s="1"/>
      <c r="H97" s="1"/>
      <c r="I97" s="1"/>
      <c r="J97" s="1"/>
      <c r="K97" s="1"/>
    </row>
    <row r="98" spans="4:11" ht="15.75" customHeight="1" x14ac:dyDescent="0.25">
      <c r="D98" s="1"/>
      <c r="E98" s="2"/>
      <c r="F98" s="1"/>
      <c r="G98" s="1"/>
      <c r="H98" s="1"/>
      <c r="I98" s="1"/>
      <c r="J98" s="1"/>
      <c r="K98" s="1"/>
    </row>
    <row r="99" spans="4:11" ht="15.75" customHeight="1" x14ac:dyDescent="0.25">
      <c r="D99" s="1"/>
      <c r="E99" s="2"/>
      <c r="F99" s="1"/>
      <c r="G99" s="1"/>
      <c r="H99" s="1"/>
      <c r="I99" s="1"/>
      <c r="J99" s="1"/>
      <c r="K99" s="1"/>
    </row>
    <row r="100" spans="4:11" ht="15.75" customHeight="1" x14ac:dyDescent="0.25">
      <c r="D100" s="1"/>
      <c r="E100" s="2"/>
      <c r="F100" s="1"/>
      <c r="G100" s="1"/>
      <c r="H100" s="1"/>
      <c r="I100" s="1"/>
      <c r="J100" s="1"/>
      <c r="K100" s="1"/>
    </row>
    <row r="101" spans="4:11" ht="15.75" customHeight="1" x14ac:dyDescent="0.25">
      <c r="D101" s="1"/>
      <c r="E101" s="2"/>
      <c r="F101" s="1"/>
      <c r="G101" s="1"/>
      <c r="H101" s="1"/>
      <c r="I101" s="1"/>
      <c r="J101" s="1"/>
      <c r="K101" s="1"/>
    </row>
    <row r="102" spans="4:11" ht="15.75" customHeight="1" x14ac:dyDescent="0.25">
      <c r="D102" s="1"/>
      <c r="E102" s="2"/>
      <c r="F102" s="1"/>
      <c r="G102" s="1"/>
      <c r="H102" s="1"/>
      <c r="I102" s="1"/>
      <c r="J102" s="1"/>
      <c r="K102" s="1"/>
    </row>
    <row r="103" spans="4:11" ht="15.75" customHeight="1" x14ac:dyDescent="0.25">
      <c r="D103" s="1"/>
      <c r="E103" s="2"/>
      <c r="F103" s="1"/>
      <c r="G103" s="1"/>
      <c r="H103" s="1"/>
      <c r="I103" s="1"/>
      <c r="J103" s="1"/>
      <c r="K103" s="1"/>
    </row>
    <row r="104" spans="4:11" ht="15.75" customHeight="1" x14ac:dyDescent="0.25">
      <c r="D104" s="1"/>
      <c r="E104" s="2"/>
      <c r="F104" s="1"/>
      <c r="G104" s="1"/>
      <c r="H104" s="1"/>
      <c r="I104" s="1"/>
      <c r="J104" s="1"/>
      <c r="K104" s="1"/>
    </row>
    <row r="105" spans="4:11" ht="15.75" customHeight="1" x14ac:dyDescent="0.25">
      <c r="D105" s="1"/>
      <c r="E105" s="2"/>
      <c r="F105" s="1"/>
      <c r="G105" s="1"/>
      <c r="H105" s="1"/>
      <c r="I105" s="1"/>
      <c r="J105" s="1"/>
      <c r="K105" s="1"/>
    </row>
    <row r="106" spans="4:11" ht="15.75" customHeight="1" x14ac:dyDescent="0.25">
      <c r="D106" s="1"/>
      <c r="E106" s="2"/>
      <c r="F106" s="1"/>
      <c r="G106" s="1"/>
      <c r="H106" s="1"/>
      <c r="I106" s="1"/>
      <c r="J106" s="1"/>
      <c r="K106" s="1"/>
    </row>
    <row r="107" spans="4:11" ht="15.75" customHeight="1" x14ac:dyDescent="0.25">
      <c r="D107" s="1"/>
      <c r="E107" s="2"/>
      <c r="F107" s="1"/>
      <c r="G107" s="1"/>
      <c r="H107" s="1"/>
      <c r="I107" s="1"/>
      <c r="J107" s="1"/>
      <c r="K107" s="1"/>
    </row>
    <row r="108" spans="4:11" ht="15.75" customHeight="1" x14ac:dyDescent="0.25">
      <c r="D108" s="1"/>
      <c r="E108" s="2"/>
      <c r="F108" s="1"/>
      <c r="G108" s="1"/>
      <c r="H108" s="1"/>
      <c r="I108" s="1"/>
      <c r="J108" s="1"/>
      <c r="K108" s="1"/>
    </row>
    <row r="109" spans="4:11" ht="15.75" customHeight="1" x14ac:dyDescent="0.25">
      <c r="D109" s="1"/>
      <c r="E109" s="2"/>
      <c r="F109" s="1"/>
      <c r="G109" s="1"/>
      <c r="H109" s="1"/>
      <c r="I109" s="1"/>
      <c r="J109" s="1"/>
      <c r="K109" s="1"/>
    </row>
    <row r="110" spans="4:11" ht="15.75" customHeight="1" x14ac:dyDescent="0.25">
      <c r="D110" s="1"/>
      <c r="E110" s="2"/>
      <c r="F110" s="1"/>
      <c r="G110" s="1"/>
      <c r="H110" s="1"/>
      <c r="I110" s="1"/>
      <c r="J110" s="1"/>
      <c r="K110" s="1"/>
    </row>
    <row r="111" spans="4:11" ht="15.75" customHeight="1" x14ac:dyDescent="0.25">
      <c r="D111" s="1"/>
      <c r="E111" s="2"/>
      <c r="F111" s="1"/>
      <c r="G111" s="1"/>
      <c r="H111" s="1"/>
      <c r="I111" s="1"/>
      <c r="J111" s="1"/>
      <c r="K111" s="1"/>
    </row>
    <row r="112" spans="4:11" ht="15.75" customHeight="1" x14ac:dyDescent="0.25">
      <c r="D112" s="1"/>
      <c r="E112" s="2"/>
      <c r="F112" s="1"/>
      <c r="G112" s="1"/>
      <c r="H112" s="1"/>
      <c r="I112" s="1"/>
      <c r="J112" s="1"/>
      <c r="K112" s="1"/>
    </row>
    <row r="113" spans="4:11" ht="15.75" customHeight="1" x14ac:dyDescent="0.25">
      <c r="D113" s="1"/>
      <c r="E113" s="2"/>
      <c r="F113" s="1"/>
      <c r="G113" s="1"/>
      <c r="H113" s="1"/>
      <c r="I113" s="1"/>
      <c r="J113" s="1"/>
      <c r="K113" s="1"/>
    </row>
    <row r="114" spans="4:11" ht="15.75" customHeight="1" x14ac:dyDescent="0.25">
      <c r="D114" s="1"/>
      <c r="E114" s="2"/>
      <c r="F114" s="1"/>
      <c r="G114" s="1"/>
      <c r="H114" s="1"/>
      <c r="I114" s="1"/>
      <c r="J114" s="1"/>
      <c r="K114" s="1"/>
    </row>
    <row r="115" spans="4:11" ht="15.75" customHeight="1" x14ac:dyDescent="0.25">
      <c r="D115" s="1"/>
      <c r="E115" s="2"/>
      <c r="F115" s="1"/>
      <c r="G115" s="1"/>
      <c r="H115" s="1"/>
      <c r="I115" s="1"/>
      <c r="J115" s="1"/>
      <c r="K115" s="1"/>
    </row>
    <row r="116" spans="4:11" ht="15.75" customHeight="1" x14ac:dyDescent="0.25">
      <c r="D116" s="1"/>
      <c r="E116" s="2"/>
      <c r="F116" s="1"/>
      <c r="G116" s="1"/>
      <c r="H116" s="1"/>
      <c r="I116" s="1"/>
      <c r="J116" s="1"/>
      <c r="K116" s="1"/>
    </row>
    <row r="117" spans="4:11" ht="15.75" customHeight="1" x14ac:dyDescent="0.25">
      <c r="D117" s="1"/>
      <c r="E117" s="2"/>
      <c r="F117" s="1"/>
      <c r="G117" s="1"/>
      <c r="H117" s="1"/>
      <c r="I117" s="1"/>
      <c r="J117" s="1"/>
      <c r="K117" s="1"/>
    </row>
    <row r="118" spans="4:11" ht="15.75" customHeight="1" x14ac:dyDescent="0.25">
      <c r="D118" s="1"/>
      <c r="E118" s="2"/>
      <c r="F118" s="1"/>
      <c r="G118" s="1"/>
      <c r="H118" s="1"/>
      <c r="I118" s="1"/>
      <c r="J118" s="1"/>
      <c r="K118" s="1"/>
    </row>
    <row r="119" spans="4:11" ht="15.75" customHeight="1" x14ac:dyDescent="0.25">
      <c r="D119" s="1"/>
      <c r="E119" s="2"/>
      <c r="F119" s="1"/>
      <c r="G119" s="1"/>
      <c r="H119" s="1"/>
      <c r="I119" s="1"/>
      <c r="J119" s="1"/>
      <c r="K119" s="1"/>
    </row>
    <row r="120" spans="4:11" ht="15.75" customHeight="1" x14ac:dyDescent="0.25">
      <c r="D120" s="1"/>
      <c r="E120" s="2"/>
      <c r="F120" s="1"/>
      <c r="G120" s="1"/>
      <c r="H120" s="1"/>
      <c r="I120" s="1"/>
      <c r="J120" s="1"/>
      <c r="K120" s="1"/>
    </row>
    <row r="121" spans="4:11" ht="15.75" customHeight="1" x14ac:dyDescent="0.25">
      <c r="D121" s="1"/>
      <c r="E121" s="2"/>
      <c r="F121" s="1"/>
      <c r="G121" s="1"/>
      <c r="H121" s="1"/>
      <c r="I121" s="1"/>
      <c r="J121" s="1"/>
      <c r="K121" s="1"/>
    </row>
    <row r="122" spans="4:11" ht="15.75" customHeight="1" x14ac:dyDescent="0.25">
      <c r="D122" s="1"/>
      <c r="E122" s="2"/>
      <c r="F122" s="1"/>
      <c r="G122" s="1"/>
      <c r="H122" s="1"/>
      <c r="I122" s="1"/>
      <c r="J122" s="1"/>
      <c r="K122" s="1"/>
    </row>
    <row r="123" spans="4:11" ht="15.75" customHeight="1" x14ac:dyDescent="0.25">
      <c r="D123" s="1"/>
      <c r="E123" s="2"/>
      <c r="F123" s="1"/>
      <c r="G123" s="1"/>
      <c r="H123" s="1"/>
      <c r="I123" s="1"/>
      <c r="J123" s="1"/>
      <c r="K123" s="1"/>
    </row>
    <row r="124" spans="4:11" ht="15.75" customHeight="1" x14ac:dyDescent="0.25">
      <c r="D124" s="1"/>
      <c r="E124" s="2"/>
      <c r="F124" s="1"/>
      <c r="G124" s="1"/>
      <c r="H124" s="1"/>
      <c r="I124" s="1"/>
      <c r="J124" s="1"/>
      <c r="K124" s="1"/>
    </row>
    <row r="125" spans="4:11" ht="15.75" customHeight="1" x14ac:dyDescent="0.25">
      <c r="D125" s="1"/>
      <c r="E125" s="2"/>
      <c r="F125" s="1"/>
      <c r="G125" s="1"/>
      <c r="H125" s="1"/>
      <c r="I125" s="1"/>
      <c r="J125" s="1"/>
      <c r="K125" s="1"/>
    </row>
    <row r="126" spans="4:11" ht="15.75" customHeight="1" x14ac:dyDescent="0.25">
      <c r="D126" s="1"/>
      <c r="E126" s="2"/>
      <c r="F126" s="1"/>
      <c r="G126" s="1"/>
      <c r="H126" s="1"/>
      <c r="I126" s="1"/>
      <c r="J126" s="1"/>
      <c r="K126" s="1"/>
    </row>
    <row r="127" spans="4:11" ht="15.75" customHeight="1" x14ac:dyDescent="0.25">
      <c r="D127" s="1"/>
      <c r="E127" s="2"/>
      <c r="F127" s="1"/>
      <c r="G127" s="1"/>
      <c r="H127" s="1"/>
      <c r="I127" s="1"/>
      <c r="J127" s="1"/>
      <c r="K127" s="1"/>
    </row>
    <row r="128" spans="4:11" ht="15.75" customHeight="1" x14ac:dyDescent="0.25">
      <c r="D128" s="1"/>
      <c r="E128" s="2"/>
      <c r="F128" s="1"/>
      <c r="G128" s="1"/>
      <c r="H128" s="1"/>
      <c r="I128" s="1"/>
      <c r="J128" s="1"/>
      <c r="K128" s="1"/>
    </row>
    <row r="129" spans="4:11" ht="15.75" customHeight="1" x14ac:dyDescent="0.25">
      <c r="D129" s="1"/>
      <c r="E129" s="2"/>
      <c r="F129" s="1"/>
      <c r="G129" s="1"/>
      <c r="H129" s="1"/>
      <c r="I129" s="1"/>
      <c r="J129" s="1"/>
      <c r="K129" s="1"/>
    </row>
    <row r="130" spans="4:11" ht="15.75" customHeight="1" x14ac:dyDescent="0.25">
      <c r="D130" s="1"/>
      <c r="E130" s="2"/>
      <c r="F130" s="1"/>
      <c r="G130" s="1"/>
      <c r="H130" s="1"/>
      <c r="I130" s="1"/>
      <c r="J130" s="1"/>
      <c r="K130" s="1"/>
    </row>
    <row r="131" spans="4:11" ht="15.75" customHeight="1" x14ac:dyDescent="0.25">
      <c r="D131" s="1"/>
      <c r="E131" s="2"/>
      <c r="F131" s="1"/>
      <c r="G131" s="1"/>
      <c r="H131" s="1"/>
      <c r="I131" s="1"/>
      <c r="J131" s="1"/>
      <c r="K131" s="1"/>
    </row>
    <row r="132" spans="4:11" ht="15.75" customHeight="1" x14ac:dyDescent="0.25">
      <c r="D132" s="1"/>
      <c r="E132" s="2"/>
      <c r="F132" s="1"/>
      <c r="G132" s="1"/>
      <c r="H132" s="1"/>
      <c r="I132" s="1"/>
      <c r="J132" s="1"/>
      <c r="K132" s="1"/>
    </row>
    <row r="133" spans="4:11" ht="15.75" customHeight="1" x14ac:dyDescent="0.25">
      <c r="D133" s="1"/>
      <c r="E133" s="2"/>
      <c r="F133" s="1"/>
      <c r="G133" s="1"/>
      <c r="H133" s="1"/>
      <c r="I133" s="1"/>
      <c r="J133" s="1"/>
      <c r="K133" s="1"/>
    </row>
    <row r="134" spans="4:11" ht="15.75" customHeight="1" x14ac:dyDescent="0.25">
      <c r="D134" s="1"/>
      <c r="E134" s="2"/>
      <c r="F134" s="1"/>
      <c r="G134" s="1"/>
      <c r="H134" s="1"/>
      <c r="I134" s="1"/>
      <c r="J134" s="1"/>
      <c r="K134" s="1"/>
    </row>
    <row r="135" spans="4:11" ht="15.75" customHeight="1" x14ac:dyDescent="0.25">
      <c r="D135" s="1"/>
      <c r="E135" s="2"/>
      <c r="F135" s="1"/>
      <c r="G135" s="1"/>
      <c r="H135" s="1"/>
      <c r="I135" s="1"/>
      <c r="J135" s="1"/>
      <c r="K135" s="1"/>
    </row>
    <row r="136" spans="4:11" ht="15.75" customHeight="1" x14ac:dyDescent="0.25">
      <c r="D136" s="1"/>
      <c r="E136" s="2"/>
      <c r="F136" s="1"/>
      <c r="G136" s="1"/>
      <c r="H136" s="1"/>
      <c r="I136" s="1"/>
      <c r="J136" s="1"/>
      <c r="K136" s="1"/>
    </row>
    <row r="137" spans="4:11" ht="15.75" customHeight="1" x14ac:dyDescent="0.25">
      <c r="D137" s="1"/>
      <c r="E137" s="2"/>
      <c r="F137" s="1"/>
      <c r="G137" s="1"/>
      <c r="H137" s="1"/>
      <c r="I137" s="1"/>
      <c r="J137" s="1"/>
      <c r="K137" s="1"/>
    </row>
    <row r="138" spans="4:11" ht="15.75" customHeight="1" x14ac:dyDescent="0.25">
      <c r="D138" s="1"/>
      <c r="E138" s="2"/>
      <c r="F138" s="1"/>
      <c r="G138" s="1"/>
      <c r="H138" s="1"/>
      <c r="I138" s="1"/>
      <c r="J138" s="1"/>
      <c r="K138" s="1"/>
    </row>
    <row r="139" spans="4:11" ht="15.75" customHeight="1" x14ac:dyDescent="0.25">
      <c r="D139" s="1"/>
      <c r="E139" s="2"/>
      <c r="F139" s="1"/>
      <c r="G139" s="1"/>
      <c r="H139" s="1"/>
      <c r="I139" s="1"/>
      <c r="J139" s="1"/>
      <c r="K139" s="1"/>
    </row>
    <row r="140" spans="4:11" ht="15.75" customHeight="1" x14ac:dyDescent="0.25">
      <c r="D140" s="1"/>
      <c r="E140" s="2"/>
      <c r="F140" s="1"/>
      <c r="G140" s="1"/>
      <c r="H140" s="1"/>
      <c r="I140" s="1"/>
      <c r="J140" s="1"/>
      <c r="K140" s="1"/>
    </row>
    <row r="141" spans="4:11" ht="15.75" customHeight="1" x14ac:dyDescent="0.25">
      <c r="D141" s="1"/>
      <c r="E141" s="2"/>
      <c r="F141" s="1"/>
      <c r="G141" s="1"/>
      <c r="H141" s="1"/>
      <c r="I141" s="1"/>
      <c r="J141" s="1"/>
      <c r="K141" s="1"/>
    </row>
    <row r="142" spans="4:11" ht="15.75" customHeight="1" x14ac:dyDescent="0.25">
      <c r="D142" s="1"/>
      <c r="E142" s="2"/>
      <c r="F142" s="1"/>
      <c r="G142" s="1"/>
      <c r="H142" s="1"/>
      <c r="I142" s="1"/>
      <c r="J142" s="1"/>
      <c r="K142" s="1"/>
    </row>
    <row r="143" spans="4:11" ht="15.75" customHeight="1" x14ac:dyDescent="0.25">
      <c r="D143" s="1"/>
      <c r="E143" s="2"/>
      <c r="F143" s="1"/>
      <c r="G143" s="1"/>
      <c r="H143" s="1"/>
      <c r="I143" s="1"/>
      <c r="J143" s="1"/>
      <c r="K143" s="1"/>
    </row>
    <row r="144" spans="4:11" ht="15.75" customHeight="1" x14ac:dyDescent="0.25">
      <c r="D144" s="1"/>
      <c r="E144" s="2"/>
      <c r="F144" s="1"/>
      <c r="G144" s="1"/>
      <c r="H144" s="1"/>
      <c r="I144" s="1"/>
      <c r="J144" s="1"/>
      <c r="K144" s="1"/>
    </row>
    <row r="145" spans="4:11" ht="15.75" customHeight="1" x14ac:dyDescent="0.25">
      <c r="D145" s="1"/>
      <c r="E145" s="2"/>
      <c r="F145" s="1"/>
      <c r="G145" s="1"/>
      <c r="H145" s="1"/>
      <c r="I145" s="1"/>
      <c r="J145" s="1"/>
      <c r="K145" s="1"/>
    </row>
    <row r="146" spans="4:11" ht="15.75" customHeight="1" x14ac:dyDescent="0.25">
      <c r="D146" s="1"/>
      <c r="E146" s="2"/>
      <c r="F146" s="1"/>
      <c r="G146" s="1"/>
      <c r="H146" s="1"/>
      <c r="I146" s="1"/>
      <c r="J146" s="1"/>
      <c r="K146" s="1"/>
    </row>
    <row r="147" spans="4:11" ht="15.75" customHeight="1" x14ac:dyDescent="0.25">
      <c r="D147" s="1"/>
      <c r="E147" s="2"/>
      <c r="F147" s="1"/>
      <c r="G147" s="1"/>
      <c r="H147" s="1"/>
      <c r="I147" s="1"/>
      <c r="J147" s="1"/>
      <c r="K147" s="1"/>
    </row>
    <row r="148" spans="4:11" ht="15.75" customHeight="1" x14ac:dyDescent="0.25">
      <c r="D148" s="1"/>
      <c r="E148" s="2"/>
      <c r="F148" s="1"/>
      <c r="G148" s="1"/>
      <c r="H148" s="1"/>
      <c r="I148" s="1"/>
      <c r="J148" s="1"/>
      <c r="K148" s="1"/>
    </row>
    <row r="149" spans="4:11" ht="15.75" customHeight="1" x14ac:dyDescent="0.25">
      <c r="D149" s="1"/>
      <c r="E149" s="2"/>
      <c r="F149" s="1"/>
      <c r="G149" s="1"/>
      <c r="H149" s="1"/>
      <c r="I149" s="1"/>
      <c r="J149" s="1"/>
      <c r="K149" s="1"/>
    </row>
    <row r="150" spans="4:11" ht="15.75" customHeight="1" x14ac:dyDescent="0.25">
      <c r="D150" s="1"/>
      <c r="E150" s="2"/>
      <c r="F150" s="1"/>
      <c r="G150" s="1"/>
      <c r="H150" s="1"/>
      <c r="I150" s="1"/>
      <c r="J150" s="1"/>
      <c r="K150" s="1"/>
    </row>
    <row r="151" spans="4:11" ht="15.75" customHeight="1" x14ac:dyDescent="0.25">
      <c r="D151" s="1"/>
      <c r="E151" s="2"/>
      <c r="F151" s="1"/>
      <c r="G151" s="1"/>
      <c r="H151" s="1"/>
      <c r="I151" s="1"/>
      <c r="J151" s="1"/>
      <c r="K151" s="1"/>
    </row>
    <row r="152" spans="4:11" ht="15.75" customHeight="1" x14ac:dyDescent="0.25">
      <c r="D152" s="1"/>
      <c r="E152" s="2"/>
      <c r="F152" s="1"/>
      <c r="G152" s="1"/>
      <c r="H152" s="1"/>
      <c r="I152" s="1"/>
      <c r="J152" s="1"/>
      <c r="K152" s="1"/>
    </row>
    <row r="153" spans="4:11" ht="15.75" customHeight="1" x14ac:dyDescent="0.25">
      <c r="D153" s="1"/>
      <c r="E153" s="2"/>
      <c r="F153" s="1"/>
      <c r="G153" s="1"/>
      <c r="H153" s="1"/>
      <c r="I153" s="1"/>
      <c r="J153" s="1"/>
      <c r="K153" s="1"/>
    </row>
    <row r="154" spans="4:11" ht="15.75" customHeight="1" x14ac:dyDescent="0.25">
      <c r="D154" s="1"/>
      <c r="E154" s="2"/>
      <c r="F154" s="1"/>
      <c r="G154" s="1"/>
      <c r="H154" s="1"/>
      <c r="I154" s="1"/>
      <c r="J154" s="1"/>
      <c r="K154" s="1"/>
    </row>
    <row r="155" spans="4:11" ht="15.75" customHeight="1" x14ac:dyDescent="0.25">
      <c r="D155" s="1"/>
      <c r="E155" s="2"/>
      <c r="F155" s="1"/>
      <c r="G155" s="1"/>
      <c r="H155" s="1"/>
      <c r="I155" s="1"/>
      <c r="J155" s="1"/>
      <c r="K155" s="1"/>
    </row>
    <row r="156" spans="4:11" ht="15.75" customHeight="1" x14ac:dyDescent="0.25">
      <c r="D156" s="1"/>
      <c r="E156" s="2"/>
      <c r="F156" s="1"/>
      <c r="G156" s="1"/>
      <c r="H156" s="1"/>
      <c r="I156" s="1"/>
      <c r="J156" s="1"/>
      <c r="K156" s="1"/>
    </row>
    <row r="157" spans="4:11" ht="15.75" customHeight="1" x14ac:dyDescent="0.25">
      <c r="D157" s="1"/>
      <c r="E157" s="2"/>
      <c r="F157" s="1"/>
      <c r="G157" s="1"/>
      <c r="H157" s="1"/>
      <c r="I157" s="1"/>
      <c r="J157" s="1"/>
      <c r="K157" s="1"/>
    </row>
    <row r="158" spans="4:11" ht="15.75" customHeight="1" x14ac:dyDescent="0.25">
      <c r="D158" s="1"/>
      <c r="E158" s="2"/>
      <c r="F158" s="1"/>
      <c r="G158" s="1"/>
      <c r="H158" s="1"/>
      <c r="I158" s="1"/>
      <c r="J158" s="1"/>
      <c r="K158" s="1"/>
    </row>
    <row r="159" spans="4:11" ht="15.75" customHeight="1" x14ac:dyDescent="0.25">
      <c r="D159" s="1"/>
      <c r="E159" s="2"/>
      <c r="F159" s="1"/>
      <c r="G159" s="1"/>
      <c r="H159" s="1"/>
      <c r="I159" s="1"/>
      <c r="J159" s="1"/>
      <c r="K159" s="1"/>
    </row>
    <row r="160" spans="4:11" ht="15.75" customHeight="1" x14ac:dyDescent="0.25">
      <c r="D160" s="1"/>
      <c r="E160" s="2"/>
      <c r="F160" s="1"/>
      <c r="G160" s="1"/>
      <c r="H160" s="1"/>
      <c r="I160" s="1"/>
      <c r="J160" s="1"/>
      <c r="K160" s="1"/>
    </row>
    <row r="161" spans="4:11" ht="15.75" customHeight="1" x14ac:dyDescent="0.25">
      <c r="D161" s="1"/>
      <c r="E161" s="2"/>
      <c r="F161" s="1"/>
      <c r="G161" s="1"/>
      <c r="H161" s="1"/>
      <c r="I161" s="1"/>
      <c r="J161" s="1"/>
      <c r="K161" s="1"/>
    </row>
    <row r="162" spans="4:11" ht="15.75" customHeight="1" x14ac:dyDescent="0.25">
      <c r="D162" s="1"/>
      <c r="E162" s="2"/>
      <c r="F162" s="1"/>
      <c r="G162" s="1"/>
      <c r="H162" s="1"/>
      <c r="I162" s="1"/>
      <c r="J162" s="1"/>
      <c r="K162" s="1"/>
    </row>
    <row r="163" spans="4:11" ht="15.75" customHeight="1" x14ac:dyDescent="0.25">
      <c r="D163" s="1"/>
      <c r="E163" s="2"/>
      <c r="F163" s="1"/>
      <c r="G163" s="1"/>
      <c r="H163" s="1"/>
      <c r="I163" s="1"/>
      <c r="J163" s="1"/>
      <c r="K163" s="1"/>
    </row>
    <row r="164" spans="4:11" ht="15.75" customHeight="1" x14ac:dyDescent="0.25">
      <c r="D164" s="1"/>
      <c r="E164" s="2"/>
      <c r="F164" s="1"/>
      <c r="G164" s="1"/>
      <c r="H164" s="1"/>
      <c r="I164" s="1"/>
      <c r="J164" s="1"/>
      <c r="K164" s="1"/>
    </row>
    <row r="165" spans="4:11" ht="15.75" customHeight="1" x14ac:dyDescent="0.25">
      <c r="D165" s="1"/>
      <c r="E165" s="2"/>
      <c r="F165" s="1"/>
      <c r="G165" s="1"/>
      <c r="H165" s="1"/>
      <c r="I165" s="1"/>
      <c r="J165" s="1"/>
      <c r="K165" s="1"/>
    </row>
    <row r="166" spans="4:11" ht="15.75" customHeight="1" x14ac:dyDescent="0.25">
      <c r="D166" s="1"/>
      <c r="E166" s="2"/>
      <c r="F166" s="1"/>
      <c r="G166" s="1"/>
      <c r="H166" s="1"/>
      <c r="I166" s="1"/>
      <c r="J166" s="1"/>
      <c r="K166" s="1"/>
    </row>
    <row r="167" spans="4:11" ht="15.75" customHeight="1" x14ac:dyDescent="0.25">
      <c r="D167" s="1"/>
      <c r="E167" s="2"/>
      <c r="F167" s="1"/>
      <c r="G167" s="1"/>
      <c r="H167" s="1"/>
      <c r="I167" s="1"/>
      <c r="J167" s="1"/>
      <c r="K167" s="1"/>
    </row>
    <row r="168" spans="4:11" ht="15.75" customHeight="1" x14ac:dyDescent="0.25">
      <c r="D168" s="1"/>
      <c r="E168" s="2"/>
      <c r="F168" s="1"/>
      <c r="G168" s="1"/>
      <c r="H168" s="1"/>
      <c r="I168" s="1"/>
      <c r="J168" s="1"/>
      <c r="K168" s="1"/>
    </row>
    <row r="169" spans="4:11" ht="15.75" customHeight="1" x14ac:dyDescent="0.25">
      <c r="D169" s="1"/>
      <c r="E169" s="2"/>
      <c r="F169" s="1"/>
      <c r="G169" s="1"/>
      <c r="H169" s="1"/>
      <c r="I169" s="1"/>
      <c r="J169" s="1"/>
      <c r="K169" s="1"/>
    </row>
    <row r="170" spans="4:11" ht="15.75" customHeight="1" x14ac:dyDescent="0.25">
      <c r="D170" s="1"/>
      <c r="E170" s="2"/>
      <c r="F170" s="1"/>
      <c r="G170" s="1"/>
      <c r="H170" s="1"/>
      <c r="I170" s="1"/>
      <c r="J170" s="1"/>
      <c r="K170" s="1"/>
    </row>
    <row r="171" spans="4:11" ht="15.75" customHeight="1" x14ac:dyDescent="0.25">
      <c r="D171" s="1"/>
      <c r="E171" s="2"/>
      <c r="F171" s="1"/>
      <c r="G171" s="1"/>
      <c r="H171" s="1"/>
      <c r="I171" s="1"/>
      <c r="J171" s="1"/>
      <c r="K171" s="1"/>
    </row>
    <row r="172" spans="4:11" ht="15.75" customHeight="1" x14ac:dyDescent="0.25">
      <c r="D172" s="1"/>
      <c r="E172" s="2"/>
      <c r="F172" s="1"/>
      <c r="G172" s="1"/>
      <c r="H172" s="1"/>
      <c r="I172" s="1"/>
      <c r="J172" s="1"/>
      <c r="K172" s="1"/>
    </row>
    <row r="173" spans="4:11" ht="15.75" customHeight="1" x14ac:dyDescent="0.25">
      <c r="D173" s="1"/>
      <c r="E173" s="2"/>
      <c r="F173" s="1"/>
      <c r="G173" s="1"/>
      <c r="H173" s="1"/>
      <c r="I173" s="1"/>
      <c r="J173" s="1"/>
      <c r="K173" s="1"/>
    </row>
    <row r="174" spans="4:11" ht="15.75" customHeight="1" x14ac:dyDescent="0.25">
      <c r="D174" s="1"/>
      <c r="E174" s="2"/>
      <c r="F174" s="1"/>
      <c r="G174" s="1"/>
      <c r="H174" s="1"/>
      <c r="I174" s="1"/>
      <c r="J174" s="1"/>
      <c r="K174" s="1"/>
    </row>
    <row r="175" spans="4:11" ht="15.75" customHeight="1" x14ac:dyDescent="0.25">
      <c r="D175" s="1"/>
      <c r="E175" s="2"/>
      <c r="F175" s="1"/>
      <c r="G175" s="1"/>
      <c r="H175" s="1"/>
      <c r="I175" s="1"/>
      <c r="J175" s="1"/>
      <c r="K175" s="1"/>
    </row>
    <row r="176" spans="4:11" ht="15.75" customHeight="1" x14ac:dyDescent="0.25">
      <c r="D176" s="1"/>
      <c r="E176" s="2"/>
      <c r="F176" s="1"/>
      <c r="G176" s="1"/>
      <c r="H176" s="1"/>
      <c r="I176" s="1"/>
      <c r="J176" s="1"/>
      <c r="K176" s="1"/>
    </row>
    <row r="177" spans="4:11" ht="15.75" customHeight="1" x14ac:dyDescent="0.25">
      <c r="D177" s="1"/>
      <c r="E177" s="2"/>
      <c r="F177" s="1"/>
      <c r="G177" s="1"/>
      <c r="H177" s="1"/>
      <c r="I177" s="1"/>
      <c r="J177" s="1"/>
      <c r="K177" s="1"/>
    </row>
    <row r="178" spans="4:11" ht="15.75" customHeight="1" x14ac:dyDescent="0.25">
      <c r="D178" s="1"/>
      <c r="E178" s="2"/>
      <c r="F178" s="1"/>
      <c r="G178" s="1"/>
      <c r="H178" s="1"/>
      <c r="I178" s="1"/>
      <c r="J178" s="1"/>
      <c r="K178" s="1"/>
    </row>
    <row r="179" spans="4:11" ht="15.75" customHeight="1" x14ac:dyDescent="0.25">
      <c r="D179" s="1"/>
      <c r="E179" s="2"/>
      <c r="F179" s="1"/>
      <c r="G179" s="1"/>
      <c r="H179" s="1"/>
      <c r="I179" s="1"/>
      <c r="J179" s="1"/>
      <c r="K179" s="1"/>
    </row>
    <row r="180" spans="4:11" ht="15.75" customHeight="1" x14ac:dyDescent="0.25">
      <c r="D180" s="1"/>
      <c r="E180" s="2"/>
      <c r="F180" s="1"/>
      <c r="G180" s="1"/>
      <c r="H180" s="1"/>
      <c r="I180" s="1"/>
      <c r="J180" s="1"/>
      <c r="K180" s="1"/>
    </row>
    <row r="181" spans="4:11" ht="15.75" customHeight="1" x14ac:dyDescent="0.25">
      <c r="D181" s="1"/>
      <c r="E181" s="2"/>
      <c r="F181" s="1"/>
      <c r="G181" s="1"/>
      <c r="H181" s="1"/>
      <c r="I181" s="1"/>
      <c r="J181" s="1"/>
      <c r="K181" s="1"/>
    </row>
    <row r="182" spans="4:11" ht="15.75" customHeight="1" x14ac:dyDescent="0.25">
      <c r="D182" s="1"/>
      <c r="E182" s="2"/>
      <c r="F182" s="1"/>
      <c r="G182" s="1"/>
      <c r="H182" s="1"/>
      <c r="I182" s="1"/>
      <c r="J182" s="1"/>
      <c r="K182" s="1"/>
    </row>
    <row r="183" spans="4:11" ht="15.75" customHeight="1" x14ac:dyDescent="0.25">
      <c r="D183" s="1"/>
      <c r="E183" s="2"/>
      <c r="F183" s="1"/>
      <c r="G183" s="1"/>
      <c r="H183" s="1"/>
      <c r="I183" s="1"/>
      <c r="J183" s="1"/>
      <c r="K183" s="1"/>
    </row>
    <row r="184" spans="4:11" ht="15.75" customHeight="1" x14ac:dyDescent="0.25">
      <c r="D184" s="1"/>
      <c r="E184" s="2"/>
      <c r="F184" s="1"/>
      <c r="G184" s="1"/>
      <c r="H184" s="1"/>
      <c r="I184" s="1"/>
      <c r="J184" s="1"/>
      <c r="K184" s="1"/>
    </row>
    <row r="185" spans="4:11" ht="15.75" customHeight="1" x14ac:dyDescent="0.25">
      <c r="D185" s="1"/>
      <c r="E185" s="2"/>
      <c r="F185" s="1"/>
      <c r="G185" s="1"/>
      <c r="H185" s="1"/>
      <c r="I185" s="1"/>
      <c r="J185" s="1"/>
      <c r="K185" s="1"/>
    </row>
    <row r="186" spans="4:11" ht="15.75" customHeight="1" x14ac:dyDescent="0.25">
      <c r="D186" s="1"/>
      <c r="E186" s="2"/>
      <c r="F186" s="1"/>
      <c r="G186" s="1"/>
      <c r="H186" s="1"/>
      <c r="I186" s="1"/>
      <c r="J186" s="1"/>
      <c r="K186" s="1"/>
    </row>
    <row r="187" spans="4:11" ht="15.75" customHeight="1" x14ac:dyDescent="0.25">
      <c r="D187" s="1"/>
      <c r="E187" s="2"/>
      <c r="F187" s="1"/>
      <c r="G187" s="1"/>
      <c r="H187" s="1"/>
      <c r="I187" s="1"/>
      <c r="J187" s="1"/>
      <c r="K187" s="1"/>
    </row>
    <row r="188" spans="4:11" ht="15.75" customHeight="1" x14ac:dyDescent="0.25">
      <c r="D188" s="1"/>
      <c r="E188" s="2"/>
      <c r="F188" s="1"/>
      <c r="G188" s="1"/>
      <c r="H188" s="1"/>
      <c r="I188" s="1"/>
      <c r="J188" s="1"/>
      <c r="K188" s="1"/>
    </row>
    <row r="189" spans="4:11" ht="15.75" customHeight="1" x14ac:dyDescent="0.25">
      <c r="D189" s="1"/>
      <c r="E189" s="2"/>
      <c r="F189" s="1"/>
      <c r="G189" s="1"/>
      <c r="H189" s="1"/>
      <c r="I189" s="1"/>
      <c r="J189" s="1"/>
      <c r="K189" s="1"/>
    </row>
    <row r="190" spans="4:11" ht="15.75" customHeight="1" x14ac:dyDescent="0.25">
      <c r="D190" s="1"/>
      <c r="E190" s="2"/>
      <c r="F190" s="1"/>
      <c r="G190" s="1"/>
      <c r="H190" s="1"/>
      <c r="I190" s="1"/>
      <c r="J190" s="1"/>
      <c r="K190" s="1"/>
    </row>
    <row r="191" spans="4:11" ht="15.75" customHeight="1" x14ac:dyDescent="0.25">
      <c r="D191" s="1"/>
      <c r="E191" s="2"/>
      <c r="F191" s="1"/>
      <c r="G191" s="1"/>
      <c r="H191" s="1"/>
      <c r="I191" s="1"/>
      <c r="J191" s="1"/>
      <c r="K191" s="1"/>
    </row>
    <row r="192" spans="4:11" ht="15.75" customHeight="1" x14ac:dyDescent="0.25">
      <c r="D192" s="1"/>
      <c r="E192" s="2"/>
      <c r="F192" s="1"/>
      <c r="G192" s="1"/>
      <c r="H192" s="1"/>
      <c r="I192" s="1"/>
      <c r="J192" s="1"/>
      <c r="K192" s="1"/>
    </row>
    <row r="193" spans="4:11" ht="15.75" customHeight="1" x14ac:dyDescent="0.25">
      <c r="D193" s="1"/>
      <c r="E193" s="2"/>
      <c r="F193" s="1"/>
      <c r="G193" s="1"/>
      <c r="H193" s="1"/>
      <c r="I193" s="1"/>
      <c r="J193" s="1"/>
      <c r="K193" s="1"/>
    </row>
    <row r="194" spans="4:11" ht="15.75" customHeight="1" x14ac:dyDescent="0.25">
      <c r="D194" s="1"/>
      <c r="E194" s="2"/>
      <c r="F194" s="1"/>
      <c r="G194" s="1"/>
      <c r="H194" s="1"/>
      <c r="I194" s="1"/>
      <c r="J194" s="1"/>
      <c r="K194" s="1"/>
    </row>
    <row r="195" spans="4:11" ht="15.75" customHeight="1" x14ac:dyDescent="0.25">
      <c r="D195" s="1"/>
      <c r="E195" s="2"/>
      <c r="F195" s="1"/>
      <c r="G195" s="1"/>
      <c r="H195" s="1"/>
      <c r="I195" s="1"/>
      <c r="J195" s="1"/>
      <c r="K195" s="1"/>
    </row>
    <row r="196" spans="4:11" ht="15.75" customHeight="1" x14ac:dyDescent="0.25">
      <c r="D196" s="1"/>
      <c r="E196" s="2"/>
      <c r="F196" s="1"/>
      <c r="G196" s="1"/>
      <c r="H196" s="1"/>
      <c r="I196" s="1"/>
      <c r="J196" s="1"/>
      <c r="K196" s="1"/>
    </row>
    <row r="197" spans="4:11" ht="15.75" customHeight="1" x14ac:dyDescent="0.25">
      <c r="D197" s="1"/>
      <c r="E197" s="2"/>
      <c r="F197" s="1"/>
      <c r="G197" s="1"/>
      <c r="H197" s="1"/>
      <c r="I197" s="1"/>
      <c r="J197" s="1"/>
      <c r="K197" s="1"/>
    </row>
    <row r="198" spans="4:11" ht="15.75" customHeight="1" x14ac:dyDescent="0.25">
      <c r="D198" s="1"/>
      <c r="E198" s="2"/>
      <c r="F198" s="1"/>
      <c r="G198" s="1"/>
      <c r="H198" s="1"/>
      <c r="I198" s="1"/>
      <c r="J198" s="1"/>
      <c r="K198" s="1"/>
    </row>
    <row r="199" spans="4:11" ht="15.75" customHeight="1" x14ac:dyDescent="0.25">
      <c r="D199" s="1"/>
      <c r="E199" s="2"/>
      <c r="F199" s="1"/>
      <c r="G199" s="1"/>
      <c r="H199" s="1"/>
      <c r="I199" s="1"/>
      <c r="J199" s="1"/>
      <c r="K199" s="1"/>
    </row>
    <row r="200" spans="4:11" ht="15.75" customHeight="1" x14ac:dyDescent="0.25">
      <c r="D200" s="1"/>
      <c r="E200" s="2"/>
      <c r="F200" s="1"/>
      <c r="G200" s="1"/>
      <c r="H200" s="1"/>
      <c r="I200" s="1"/>
      <c r="J200" s="1"/>
      <c r="K200" s="1"/>
    </row>
    <row r="201" spans="4:11" ht="15.75" customHeight="1" x14ac:dyDescent="0.25">
      <c r="D201" s="1"/>
      <c r="E201" s="2"/>
      <c r="F201" s="1"/>
      <c r="G201" s="1"/>
      <c r="H201" s="1"/>
      <c r="I201" s="1"/>
      <c r="J201" s="1"/>
      <c r="K201" s="1"/>
    </row>
    <row r="202" spans="4:11" ht="15.75" customHeight="1" x14ac:dyDescent="0.25">
      <c r="D202" s="1"/>
      <c r="E202" s="2"/>
      <c r="F202" s="1"/>
      <c r="G202" s="1"/>
      <c r="H202" s="1"/>
      <c r="I202" s="1"/>
      <c r="J202" s="1"/>
      <c r="K202" s="1"/>
    </row>
    <row r="203" spans="4:11" ht="15.75" customHeight="1" x14ac:dyDescent="0.25">
      <c r="D203" s="1"/>
      <c r="E203" s="2"/>
      <c r="F203" s="1"/>
      <c r="G203" s="1"/>
      <c r="H203" s="1"/>
      <c r="I203" s="1"/>
      <c r="J203" s="1"/>
      <c r="K203" s="1"/>
    </row>
    <row r="204" spans="4:11" ht="15.75" customHeight="1" x14ac:dyDescent="0.25">
      <c r="D204" s="1"/>
      <c r="E204" s="2"/>
      <c r="F204" s="1"/>
      <c r="G204" s="1"/>
      <c r="H204" s="1"/>
      <c r="I204" s="1"/>
      <c r="J204" s="1"/>
      <c r="K204" s="1"/>
    </row>
    <row r="205" spans="4:11" ht="15.75" customHeight="1" x14ac:dyDescent="0.25">
      <c r="D205" s="1"/>
      <c r="E205" s="2"/>
      <c r="F205" s="1"/>
      <c r="G205" s="1"/>
      <c r="H205" s="1"/>
      <c r="I205" s="1"/>
      <c r="J205" s="1"/>
      <c r="K205" s="1"/>
    </row>
    <row r="206" spans="4:11" ht="15.75" customHeight="1" x14ac:dyDescent="0.25">
      <c r="D206" s="1"/>
      <c r="E206" s="2"/>
      <c r="F206" s="1"/>
      <c r="G206" s="1"/>
      <c r="H206" s="1"/>
      <c r="I206" s="1"/>
      <c r="J206" s="1"/>
      <c r="K206" s="1"/>
    </row>
    <row r="207" spans="4:11" ht="15.75" customHeight="1" x14ac:dyDescent="0.25">
      <c r="D207" s="1"/>
      <c r="E207" s="2"/>
      <c r="F207" s="1"/>
      <c r="G207" s="1"/>
      <c r="H207" s="1"/>
      <c r="I207" s="1"/>
      <c r="J207" s="1"/>
      <c r="K207" s="1"/>
    </row>
    <row r="208" spans="4:11" ht="15.75" customHeight="1" x14ac:dyDescent="0.25">
      <c r="D208" s="1"/>
      <c r="E208" s="2"/>
      <c r="F208" s="1"/>
      <c r="G208" s="1"/>
      <c r="H208" s="1"/>
      <c r="I208" s="1"/>
      <c r="J208" s="1"/>
      <c r="K208" s="1"/>
    </row>
    <row r="209" spans="4:11" ht="15.75" customHeight="1" x14ac:dyDescent="0.25">
      <c r="D209" s="1"/>
      <c r="E209" s="2"/>
      <c r="F209" s="1"/>
      <c r="G209" s="1"/>
      <c r="H209" s="1"/>
      <c r="I209" s="1"/>
      <c r="J209" s="1"/>
      <c r="K209" s="1"/>
    </row>
    <row r="210" spans="4:11" ht="15.75" customHeight="1" x14ac:dyDescent="0.25">
      <c r="D210" s="1"/>
      <c r="E210" s="2"/>
      <c r="F210" s="1"/>
      <c r="G210" s="1"/>
      <c r="H210" s="1"/>
      <c r="I210" s="1"/>
      <c r="J210" s="1"/>
      <c r="K210" s="1"/>
    </row>
    <row r="211" spans="4:11" ht="15.75" customHeight="1" x14ac:dyDescent="0.25">
      <c r="D211" s="1"/>
      <c r="E211" s="2"/>
      <c r="F211" s="1"/>
      <c r="G211" s="1"/>
      <c r="H211" s="1"/>
      <c r="I211" s="1"/>
      <c r="J211" s="1"/>
      <c r="K211" s="1"/>
    </row>
    <row r="212" spans="4:11" ht="15.75" customHeight="1" x14ac:dyDescent="0.25">
      <c r="D212" s="1"/>
      <c r="E212" s="2"/>
      <c r="F212" s="1"/>
      <c r="G212" s="1"/>
      <c r="H212" s="1"/>
      <c r="I212" s="1"/>
      <c r="J212" s="1"/>
      <c r="K212" s="1"/>
    </row>
    <row r="213" spans="4:11" ht="15.75" customHeight="1" x14ac:dyDescent="0.25">
      <c r="D213" s="1"/>
      <c r="E213" s="2"/>
      <c r="F213" s="1"/>
      <c r="G213" s="1"/>
      <c r="H213" s="1"/>
      <c r="I213" s="1"/>
      <c r="J213" s="1"/>
      <c r="K213" s="1"/>
    </row>
    <row r="214" spans="4:11" ht="15.75" customHeight="1" x14ac:dyDescent="0.25">
      <c r="D214" s="1"/>
      <c r="E214" s="2"/>
      <c r="F214" s="1"/>
      <c r="G214" s="1"/>
      <c r="H214" s="1"/>
      <c r="I214" s="1"/>
      <c r="J214" s="1"/>
      <c r="K214" s="1"/>
    </row>
    <row r="215" spans="4:11" ht="15.75" customHeight="1" x14ac:dyDescent="0.25">
      <c r="D215" s="1"/>
      <c r="E215" s="2"/>
      <c r="F215" s="1"/>
      <c r="G215" s="1"/>
      <c r="H215" s="1"/>
      <c r="I215" s="1"/>
      <c r="J215" s="1"/>
      <c r="K215" s="1"/>
    </row>
    <row r="216" spans="4:11" ht="15.75" customHeight="1" x14ac:dyDescent="0.25">
      <c r="D216" s="1"/>
      <c r="E216" s="2"/>
      <c r="F216" s="1"/>
      <c r="G216" s="1"/>
      <c r="H216" s="1"/>
      <c r="I216" s="1"/>
      <c r="J216" s="1"/>
      <c r="K216" s="1"/>
    </row>
    <row r="217" spans="4:11" ht="15.75" customHeight="1" x14ac:dyDescent="0.25">
      <c r="D217" s="1"/>
      <c r="E217" s="2"/>
      <c r="F217" s="1"/>
      <c r="G217" s="1"/>
      <c r="H217" s="1"/>
      <c r="I217" s="1"/>
      <c r="J217" s="1"/>
      <c r="K217" s="1"/>
    </row>
    <row r="218" spans="4:11" ht="15.75" customHeight="1" x14ac:dyDescent="0.25">
      <c r="D218" s="1"/>
      <c r="E218" s="2"/>
      <c r="F218" s="1"/>
      <c r="G218" s="1"/>
      <c r="H218" s="1"/>
      <c r="I218" s="1"/>
      <c r="J218" s="1"/>
      <c r="K218" s="1"/>
    </row>
    <row r="219" spans="4:11" ht="15.75" customHeight="1" x14ac:dyDescent="0.25">
      <c r="D219" s="1"/>
      <c r="E219" s="2"/>
      <c r="F219" s="1"/>
      <c r="G219" s="1"/>
      <c r="H219" s="1"/>
      <c r="I219" s="1"/>
      <c r="J219" s="1"/>
      <c r="K219" s="1"/>
    </row>
    <row r="220" spans="4:11" ht="15.75" customHeight="1" x14ac:dyDescent="0.25">
      <c r="D220" s="1"/>
      <c r="E220" s="2"/>
      <c r="F220" s="1"/>
      <c r="G220" s="1"/>
      <c r="H220" s="1"/>
      <c r="I220" s="1"/>
      <c r="J220" s="1"/>
      <c r="K220" s="1"/>
    </row>
    <row r="221" spans="4:11" ht="15.75" customHeight="1" x14ac:dyDescent="0.25">
      <c r="D221" s="1"/>
      <c r="E221" s="2"/>
      <c r="F221" s="1"/>
      <c r="G221" s="1"/>
      <c r="H221" s="1"/>
      <c r="I221" s="1"/>
      <c r="J221" s="1"/>
      <c r="K221" s="1"/>
    </row>
    <row r="222" spans="4:11" ht="15.75" customHeight="1" x14ac:dyDescent="0.25">
      <c r="D222" s="1"/>
      <c r="E222" s="2"/>
      <c r="F222" s="1"/>
      <c r="G222" s="1"/>
      <c r="H222" s="1"/>
      <c r="I222" s="1"/>
      <c r="J222" s="1"/>
      <c r="K222" s="1"/>
    </row>
    <row r="223" spans="4:11" ht="15.75" customHeight="1" x14ac:dyDescent="0.25">
      <c r="D223" s="1"/>
      <c r="E223" s="2"/>
      <c r="F223" s="1"/>
      <c r="G223" s="1"/>
      <c r="H223" s="1"/>
      <c r="I223" s="1"/>
      <c r="J223" s="1"/>
      <c r="K223" s="1"/>
    </row>
    <row r="224" spans="4:11" ht="15.75" customHeight="1" x14ac:dyDescent="0.25">
      <c r="D224" s="1"/>
      <c r="E224" s="2"/>
      <c r="F224" s="1"/>
      <c r="G224" s="1"/>
      <c r="H224" s="1"/>
      <c r="I224" s="1"/>
      <c r="J224" s="1"/>
      <c r="K224" s="1"/>
    </row>
    <row r="225" spans="4:11" ht="15.75" customHeight="1" x14ac:dyDescent="0.25">
      <c r="D225" s="1"/>
      <c r="E225" s="2"/>
      <c r="F225" s="1"/>
      <c r="G225" s="1"/>
      <c r="H225" s="1"/>
      <c r="I225" s="1"/>
      <c r="J225" s="1"/>
      <c r="K225" s="1"/>
    </row>
    <row r="226" spans="4:11" ht="15.75" customHeight="1" x14ac:dyDescent="0.25">
      <c r="D226" s="1"/>
      <c r="E226" s="2"/>
      <c r="F226" s="1"/>
      <c r="G226" s="1"/>
      <c r="H226" s="1"/>
      <c r="I226" s="1"/>
      <c r="J226" s="1"/>
      <c r="K226" s="1"/>
    </row>
    <row r="227" spans="4:11" ht="15.75" customHeight="1" x14ac:dyDescent="0.25">
      <c r="D227" s="1"/>
      <c r="E227" s="2"/>
      <c r="F227" s="1"/>
      <c r="G227" s="1"/>
      <c r="H227" s="1"/>
      <c r="I227" s="1"/>
      <c r="J227" s="1"/>
      <c r="K227" s="1"/>
    </row>
    <row r="228" spans="4:11" ht="15.75" customHeight="1" x14ac:dyDescent="0.25">
      <c r="D228" s="1"/>
      <c r="E228" s="2"/>
      <c r="F228" s="1"/>
      <c r="G228" s="1"/>
      <c r="H228" s="1"/>
      <c r="I228" s="1"/>
      <c r="J228" s="1"/>
      <c r="K228" s="1"/>
    </row>
    <row r="229" spans="4:11" ht="15.75" customHeight="1" x14ac:dyDescent="0.25">
      <c r="D229" s="1"/>
      <c r="E229" s="2"/>
      <c r="F229" s="1"/>
      <c r="G229" s="1"/>
      <c r="H229" s="1"/>
      <c r="I229" s="1"/>
      <c r="J229" s="1"/>
      <c r="K229" s="1"/>
    </row>
    <row r="230" spans="4:11" ht="15.75" customHeight="1" x14ac:dyDescent="0.25">
      <c r="D230" s="1"/>
      <c r="E230" s="2"/>
      <c r="F230" s="1"/>
      <c r="G230" s="1"/>
      <c r="H230" s="1"/>
      <c r="I230" s="1"/>
      <c r="J230" s="1"/>
      <c r="K230" s="1"/>
    </row>
    <row r="231" spans="4:11" ht="15.75" customHeight="1" x14ac:dyDescent="0.25">
      <c r="D231" s="1"/>
      <c r="E231" s="2"/>
      <c r="F231" s="1"/>
      <c r="G231" s="1"/>
      <c r="H231" s="1"/>
      <c r="I231" s="1"/>
      <c r="J231" s="1"/>
      <c r="K231" s="1"/>
    </row>
    <row r="232" spans="4:11" ht="15.75" customHeight="1" x14ac:dyDescent="0.25">
      <c r="D232" s="1"/>
      <c r="E232" s="2"/>
      <c r="F232" s="1"/>
      <c r="G232" s="1"/>
      <c r="H232" s="1"/>
      <c r="I232" s="1"/>
      <c r="J232" s="1"/>
      <c r="K232" s="1"/>
    </row>
    <row r="233" spans="4:11" ht="15.75" customHeight="1" x14ac:dyDescent="0.25">
      <c r="D233" s="1"/>
      <c r="E233" s="2"/>
      <c r="F233" s="1"/>
      <c r="G233" s="1"/>
      <c r="H233" s="1"/>
      <c r="I233" s="1"/>
      <c r="J233" s="1"/>
      <c r="K233" s="1"/>
    </row>
    <row r="234" spans="4:11" ht="15.75" customHeight="1" x14ac:dyDescent="0.25">
      <c r="D234" s="1"/>
      <c r="E234" s="2"/>
      <c r="F234" s="1"/>
      <c r="G234" s="1"/>
      <c r="H234" s="1"/>
      <c r="I234" s="1"/>
      <c r="J234" s="1"/>
      <c r="K234" s="1"/>
    </row>
    <row r="235" spans="4:11" ht="15.75" customHeight="1" x14ac:dyDescent="0.25">
      <c r="D235" s="1"/>
      <c r="E235" s="2"/>
      <c r="F235" s="1"/>
      <c r="G235" s="1"/>
      <c r="H235" s="1"/>
      <c r="I235" s="1"/>
      <c r="J235" s="1"/>
      <c r="K235" s="1"/>
    </row>
    <row r="236" spans="4:11" ht="15.75" customHeight="1" x14ac:dyDescent="0.25">
      <c r="D236" s="1"/>
      <c r="E236" s="2"/>
      <c r="F236" s="1"/>
      <c r="G236" s="1"/>
      <c r="H236" s="1"/>
      <c r="I236" s="1"/>
      <c r="J236" s="1"/>
      <c r="K236" s="1"/>
    </row>
    <row r="237" spans="4:11" ht="15.75" customHeight="1" x14ac:dyDescent="0.25">
      <c r="D237" s="1"/>
      <c r="E237" s="2"/>
      <c r="F237" s="1"/>
      <c r="G237" s="1"/>
      <c r="H237" s="1"/>
      <c r="I237" s="1"/>
      <c r="J237" s="1"/>
      <c r="K237" s="1"/>
    </row>
    <row r="238" spans="4:11" ht="15.75" customHeight="1" x14ac:dyDescent="0.25">
      <c r="D238" s="1"/>
      <c r="E238" s="2"/>
      <c r="F238" s="1"/>
      <c r="G238" s="1"/>
      <c r="H238" s="1"/>
      <c r="I238" s="1"/>
      <c r="J238" s="1"/>
      <c r="K238" s="1"/>
    </row>
    <row r="239" spans="4:11" ht="15.75" customHeight="1" x14ac:dyDescent="0.25">
      <c r="D239" s="1"/>
      <c r="E239" s="2"/>
      <c r="F239" s="1"/>
      <c r="G239" s="1"/>
      <c r="H239" s="1"/>
      <c r="I239" s="1"/>
      <c r="J239" s="1"/>
      <c r="K239" s="1"/>
    </row>
    <row r="240" spans="4:11" ht="15.75" customHeight="1" x14ac:dyDescent="0.25">
      <c r="D240" s="1"/>
      <c r="E240" s="2"/>
      <c r="F240" s="1"/>
      <c r="G240" s="1"/>
      <c r="H240" s="1"/>
      <c r="I240" s="1"/>
      <c r="J240" s="1"/>
      <c r="K240" s="1"/>
    </row>
    <row r="241" spans="4:11" ht="15.75" customHeight="1" x14ac:dyDescent="0.25">
      <c r="D241" s="1"/>
      <c r="E241" s="2"/>
      <c r="F241" s="1"/>
      <c r="G241" s="1"/>
      <c r="H241" s="1"/>
      <c r="I241" s="1"/>
      <c r="J241" s="1"/>
      <c r="K241" s="1"/>
    </row>
    <row r="242" spans="4:11" ht="15.75" customHeight="1" x14ac:dyDescent="0.25">
      <c r="D242" s="1"/>
      <c r="E242" s="2"/>
      <c r="F242" s="1"/>
      <c r="G242" s="1"/>
      <c r="H242" s="1"/>
      <c r="I242" s="1"/>
      <c r="J242" s="1"/>
      <c r="K242" s="1"/>
    </row>
    <row r="243" spans="4:11" ht="15.75" customHeight="1" x14ac:dyDescent="0.25">
      <c r="D243" s="1"/>
      <c r="E243" s="2"/>
      <c r="F243" s="1"/>
      <c r="G243" s="1"/>
      <c r="H243" s="1"/>
      <c r="I243" s="1"/>
      <c r="J243" s="1"/>
      <c r="K243" s="1"/>
    </row>
    <row r="244" spans="4:11" ht="15.75" customHeight="1" x14ac:dyDescent="0.25">
      <c r="D244" s="1"/>
      <c r="E244" s="2"/>
      <c r="F244" s="1"/>
      <c r="G244" s="1"/>
      <c r="H244" s="1"/>
      <c r="I244" s="1"/>
      <c r="J244" s="1"/>
      <c r="K244" s="1"/>
    </row>
    <row r="245" spans="4:11" ht="15.75" customHeight="1" x14ac:dyDescent="0.25">
      <c r="D245" s="1"/>
      <c r="E245" s="2"/>
      <c r="F245" s="1"/>
      <c r="G245" s="1"/>
      <c r="H245" s="1"/>
      <c r="I245" s="1"/>
      <c r="J245" s="1"/>
      <c r="K245" s="1"/>
    </row>
    <row r="246" spans="4:11" ht="15.75" customHeight="1" x14ac:dyDescent="0.25">
      <c r="D246" s="1"/>
      <c r="E246" s="2"/>
      <c r="F246" s="1"/>
      <c r="G246" s="1"/>
      <c r="H246" s="1"/>
      <c r="I246" s="1"/>
      <c r="J246" s="1"/>
      <c r="K246" s="1"/>
    </row>
    <row r="247" spans="4:11" ht="15.75" customHeight="1" x14ac:dyDescent="0.25">
      <c r="D247" s="1"/>
      <c r="E247" s="2"/>
      <c r="F247" s="1"/>
      <c r="G247" s="1"/>
      <c r="H247" s="1"/>
      <c r="I247" s="1"/>
      <c r="J247" s="1"/>
      <c r="K247" s="1"/>
    </row>
    <row r="248" spans="4:11" ht="15.75" customHeight="1" x14ac:dyDescent="0.25">
      <c r="D248" s="1"/>
      <c r="E248" s="2"/>
      <c r="F248" s="1"/>
      <c r="G248" s="1"/>
      <c r="H248" s="1"/>
      <c r="I248" s="1"/>
      <c r="J248" s="1"/>
      <c r="K248" s="1"/>
    </row>
    <row r="249" spans="4:11" ht="15.75" customHeight="1" x14ac:dyDescent="0.25">
      <c r="D249" s="1"/>
      <c r="E249" s="2"/>
      <c r="F249" s="1"/>
      <c r="G249" s="1"/>
      <c r="H249" s="1"/>
      <c r="I249" s="1"/>
      <c r="J249" s="1"/>
      <c r="K249" s="1"/>
    </row>
    <row r="250" spans="4:11" ht="15.75" customHeight="1" x14ac:dyDescent="0.25">
      <c r="D250" s="1"/>
      <c r="E250" s="2"/>
      <c r="F250" s="1"/>
      <c r="G250" s="1"/>
      <c r="H250" s="1"/>
      <c r="I250" s="1"/>
      <c r="J250" s="1"/>
      <c r="K250" s="1"/>
    </row>
    <row r="251" spans="4:11" ht="15.75" customHeight="1" x14ac:dyDescent="0.25">
      <c r="D251" s="1"/>
      <c r="E251" s="2"/>
      <c r="F251" s="1"/>
      <c r="G251" s="1"/>
      <c r="H251" s="1"/>
      <c r="I251" s="1"/>
      <c r="J251" s="1"/>
      <c r="K251" s="1"/>
    </row>
    <row r="252" spans="4:11" ht="15.75" customHeight="1" x14ac:dyDescent="0.25">
      <c r="D252" s="1"/>
      <c r="E252" s="2"/>
      <c r="F252" s="1"/>
      <c r="G252" s="1"/>
      <c r="H252" s="1"/>
      <c r="I252" s="1"/>
      <c r="J252" s="1"/>
      <c r="K252" s="1"/>
    </row>
    <row r="253" spans="4:11" ht="15.75" customHeight="1" x14ac:dyDescent="0.25">
      <c r="D253" s="1"/>
      <c r="E253" s="2"/>
      <c r="F253" s="1"/>
      <c r="G253" s="1"/>
      <c r="H253" s="1"/>
      <c r="I253" s="1"/>
      <c r="J253" s="1"/>
      <c r="K253" s="1"/>
    </row>
    <row r="254" spans="4:11" ht="15.75" customHeight="1" x14ac:dyDescent="0.25">
      <c r="D254" s="1"/>
      <c r="E254" s="2"/>
      <c r="F254" s="1"/>
      <c r="G254" s="1"/>
      <c r="H254" s="1"/>
      <c r="I254" s="1"/>
      <c r="J254" s="1"/>
      <c r="K254" s="1"/>
    </row>
    <row r="255" spans="4:11" ht="15.75" customHeight="1" x14ac:dyDescent="0.25">
      <c r="D255" s="1"/>
      <c r="E255" s="2"/>
      <c r="F255" s="1"/>
      <c r="G255" s="1"/>
      <c r="H255" s="1"/>
      <c r="I255" s="1"/>
      <c r="J255" s="1"/>
      <c r="K255" s="1"/>
    </row>
    <row r="256" spans="4:11" ht="15.75" customHeight="1" x14ac:dyDescent="0.25">
      <c r="D256" s="1"/>
      <c r="E256" s="2"/>
      <c r="F256" s="1"/>
      <c r="G256" s="1"/>
      <c r="H256" s="1"/>
      <c r="I256" s="1"/>
      <c r="J256" s="1"/>
      <c r="K256" s="1"/>
    </row>
    <row r="257" spans="4:11" ht="15.75" customHeight="1" x14ac:dyDescent="0.25">
      <c r="D257" s="1"/>
      <c r="E257" s="2"/>
      <c r="F257" s="1"/>
      <c r="G257" s="1"/>
      <c r="H257" s="1"/>
      <c r="I257" s="1"/>
      <c r="J257" s="1"/>
      <c r="K257" s="1"/>
    </row>
    <row r="258" spans="4:11" ht="15.75" customHeight="1" x14ac:dyDescent="0.25">
      <c r="D258" s="1"/>
      <c r="E258" s="2"/>
      <c r="F258" s="1"/>
      <c r="G258" s="1"/>
      <c r="H258" s="1"/>
      <c r="I258" s="1"/>
      <c r="J258" s="1"/>
      <c r="K258" s="1"/>
    </row>
    <row r="259" spans="4:11" ht="15.75" customHeight="1" x14ac:dyDescent="0.25">
      <c r="D259" s="1"/>
      <c r="E259" s="2"/>
      <c r="F259" s="1"/>
      <c r="G259" s="1"/>
      <c r="H259" s="1"/>
      <c r="I259" s="1"/>
      <c r="J259" s="1"/>
      <c r="K259" s="1"/>
    </row>
    <row r="260" spans="4:11" ht="15.75" customHeight="1" x14ac:dyDescent="0.25">
      <c r="D260" s="1"/>
      <c r="E260" s="2"/>
      <c r="F260" s="1"/>
      <c r="G260" s="1"/>
      <c r="H260" s="1"/>
      <c r="I260" s="1"/>
      <c r="J260" s="1"/>
      <c r="K260" s="1"/>
    </row>
    <row r="261" spans="4:11" ht="15.75" customHeight="1" x14ac:dyDescent="0.25">
      <c r="D261" s="1"/>
      <c r="E261" s="2"/>
      <c r="F261" s="1"/>
      <c r="G261" s="1"/>
      <c r="H261" s="1"/>
      <c r="I261" s="1"/>
      <c r="J261" s="1"/>
      <c r="K261" s="1"/>
    </row>
    <row r="262" spans="4:11" ht="15.75" customHeight="1" x14ac:dyDescent="0.25">
      <c r="D262" s="1"/>
      <c r="E262" s="2"/>
      <c r="F262" s="1"/>
      <c r="G262" s="1"/>
      <c r="H262" s="1"/>
      <c r="I262" s="1"/>
      <c r="J262" s="1"/>
      <c r="K262" s="1"/>
    </row>
    <row r="263" spans="4:11" ht="15.75" customHeight="1" x14ac:dyDescent="0.25">
      <c r="D263" s="1"/>
      <c r="E263" s="2"/>
      <c r="F263" s="1"/>
      <c r="G263" s="1"/>
      <c r="H263" s="1"/>
      <c r="I263" s="1"/>
      <c r="J263" s="1"/>
      <c r="K263" s="1"/>
    </row>
    <row r="264" spans="4:11" ht="15.75" customHeight="1" x14ac:dyDescent="0.25">
      <c r="D264" s="1"/>
      <c r="E264" s="2"/>
      <c r="F264" s="1"/>
      <c r="G264" s="1"/>
      <c r="H264" s="1"/>
      <c r="I264" s="1"/>
      <c r="J264" s="1"/>
      <c r="K264" s="1"/>
    </row>
    <row r="265" spans="4:11" ht="15.75" customHeight="1" x14ac:dyDescent="0.25">
      <c r="D265" s="1"/>
      <c r="E265" s="2"/>
      <c r="F265" s="1"/>
      <c r="G265" s="1"/>
      <c r="H265" s="1"/>
      <c r="I265" s="1"/>
      <c r="J265" s="1"/>
      <c r="K265" s="1"/>
    </row>
    <row r="266" spans="4:11" ht="15.75" customHeight="1" x14ac:dyDescent="0.25">
      <c r="D266" s="1"/>
      <c r="E266" s="2"/>
      <c r="F266" s="1"/>
      <c r="G266" s="1"/>
      <c r="H266" s="1"/>
      <c r="I266" s="1"/>
      <c r="J266" s="1"/>
      <c r="K266" s="1"/>
    </row>
    <row r="267" spans="4:11" ht="15.75" customHeight="1" x14ac:dyDescent="0.25">
      <c r="D267" s="1"/>
      <c r="E267" s="2"/>
      <c r="F267" s="1"/>
      <c r="G267" s="1"/>
      <c r="H267" s="1"/>
      <c r="I267" s="1"/>
      <c r="J267" s="1"/>
      <c r="K267" s="1"/>
    </row>
    <row r="268" spans="4:11" ht="15.75" customHeight="1" x14ac:dyDescent="0.25">
      <c r="D268" s="1"/>
      <c r="E268" s="2"/>
      <c r="F268" s="1"/>
      <c r="G268" s="1"/>
      <c r="H268" s="1"/>
      <c r="I268" s="1"/>
      <c r="J268" s="1"/>
      <c r="K268" s="1"/>
    </row>
    <row r="269" spans="4:11" ht="15.75" customHeight="1" x14ac:dyDescent="0.25">
      <c r="D269" s="1"/>
      <c r="E269" s="2"/>
      <c r="F269" s="1"/>
      <c r="G269" s="1"/>
      <c r="H269" s="1"/>
      <c r="I269" s="1"/>
      <c r="J269" s="1"/>
      <c r="K269" s="1"/>
    </row>
    <row r="270" spans="4:11" ht="15.75" customHeight="1" x14ac:dyDescent="0.25">
      <c r="D270" s="1"/>
      <c r="E270" s="2"/>
      <c r="F270" s="1"/>
      <c r="G270" s="1"/>
      <c r="H270" s="1"/>
      <c r="I270" s="1"/>
      <c r="J270" s="1"/>
      <c r="K270" s="1"/>
    </row>
    <row r="271" spans="4:11" ht="15.75" customHeight="1" x14ac:dyDescent="0.25">
      <c r="D271" s="1"/>
      <c r="E271" s="2"/>
      <c r="F271" s="1"/>
      <c r="G271" s="1"/>
      <c r="H271" s="1"/>
      <c r="I271" s="1"/>
      <c r="J271" s="1"/>
      <c r="K271" s="1"/>
    </row>
    <row r="272" spans="4:11" ht="15.75" customHeight="1" x14ac:dyDescent="0.25">
      <c r="D272" s="1"/>
      <c r="E272" s="2"/>
      <c r="F272" s="1"/>
      <c r="G272" s="1"/>
      <c r="H272" s="1"/>
      <c r="I272" s="1"/>
      <c r="J272" s="1"/>
      <c r="K272" s="1"/>
    </row>
    <row r="273" spans="4:11" ht="15.75" customHeight="1" x14ac:dyDescent="0.25">
      <c r="D273" s="1"/>
      <c r="E273" s="2"/>
      <c r="F273" s="1"/>
      <c r="G273" s="1"/>
      <c r="H273" s="1"/>
      <c r="I273" s="1"/>
      <c r="J273" s="1"/>
      <c r="K273" s="1"/>
    </row>
    <row r="274" spans="4:11" ht="15.75" customHeight="1" x14ac:dyDescent="0.25">
      <c r="D274" s="1"/>
      <c r="E274" s="2"/>
      <c r="F274" s="1"/>
      <c r="G274" s="1"/>
      <c r="H274" s="1"/>
      <c r="I274" s="1"/>
      <c r="J274" s="1"/>
      <c r="K274" s="1"/>
    </row>
    <row r="275" spans="4:11" ht="15.75" customHeight="1" x14ac:dyDescent="0.25">
      <c r="D275" s="1"/>
      <c r="E275" s="2"/>
      <c r="F275" s="1"/>
      <c r="G275" s="1"/>
      <c r="H275" s="1"/>
      <c r="I275" s="1"/>
      <c r="J275" s="1"/>
      <c r="K275" s="1"/>
    </row>
    <row r="276" spans="4:11" ht="15.75" customHeight="1" x14ac:dyDescent="0.25">
      <c r="D276" s="1"/>
      <c r="E276" s="2"/>
      <c r="F276" s="1"/>
      <c r="G276" s="1"/>
      <c r="H276" s="1"/>
      <c r="I276" s="1"/>
      <c r="J276" s="1"/>
      <c r="K276" s="1"/>
    </row>
    <row r="277" spans="4:11" ht="15.75" customHeight="1" x14ac:dyDescent="0.25">
      <c r="D277" s="1"/>
      <c r="E277" s="2"/>
      <c r="F277" s="1"/>
      <c r="G277" s="1"/>
      <c r="H277" s="1"/>
      <c r="I277" s="1"/>
      <c r="J277" s="1"/>
      <c r="K277" s="1"/>
    </row>
    <row r="278" spans="4:11" ht="15.75" customHeight="1" x14ac:dyDescent="0.25">
      <c r="D278" s="1"/>
      <c r="E278" s="2"/>
      <c r="F278" s="1"/>
      <c r="G278" s="1"/>
      <c r="H278" s="1"/>
      <c r="I278" s="1"/>
      <c r="J278" s="1"/>
      <c r="K278" s="1"/>
    </row>
    <row r="279" spans="4:11" ht="15.75" customHeight="1" x14ac:dyDescent="0.25">
      <c r="D279" s="1"/>
      <c r="E279" s="2"/>
      <c r="F279" s="1"/>
      <c r="G279" s="1"/>
      <c r="H279" s="1"/>
      <c r="I279" s="1"/>
      <c r="J279" s="1"/>
      <c r="K279" s="1"/>
    </row>
    <row r="280" spans="4:11" ht="15.75" customHeight="1" x14ac:dyDescent="0.25">
      <c r="D280" s="1"/>
      <c r="E280" s="2"/>
      <c r="F280" s="1"/>
      <c r="G280" s="1"/>
      <c r="H280" s="1"/>
      <c r="I280" s="1"/>
      <c r="J280" s="1"/>
      <c r="K280" s="1"/>
    </row>
    <row r="281" spans="4:11" ht="15.75" customHeight="1" x14ac:dyDescent="0.25">
      <c r="D281" s="1"/>
      <c r="E281" s="2"/>
      <c r="F281" s="1"/>
      <c r="G281" s="1"/>
      <c r="H281" s="1"/>
      <c r="I281" s="1"/>
      <c r="J281" s="1"/>
      <c r="K281" s="1"/>
    </row>
    <row r="282" spans="4:11" ht="15.75" customHeight="1" x14ac:dyDescent="0.25">
      <c r="D282" s="1"/>
      <c r="E282" s="2"/>
      <c r="F282" s="1"/>
      <c r="G282" s="1"/>
      <c r="H282" s="1"/>
      <c r="I282" s="1"/>
      <c r="J282" s="1"/>
      <c r="K282" s="1"/>
    </row>
    <row r="283" spans="4:11" ht="15.75" customHeight="1" x14ac:dyDescent="0.25">
      <c r="D283" s="1"/>
      <c r="E283" s="2"/>
      <c r="F283" s="1"/>
      <c r="G283" s="1"/>
      <c r="H283" s="1"/>
      <c r="I283" s="1"/>
      <c r="J283" s="1"/>
      <c r="K283" s="1"/>
    </row>
    <row r="284" spans="4:11" ht="15.75" customHeight="1" x14ac:dyDescent="0.25">
      <c r="D284" s="1"/>
      <c r="E284" s="2"/>
      <c r="F284" s="1"/>
      <c r="G284" s="1"/>
      <c r="H284" s="1"/>
      <c r="I284" s="1"/>
      <c r="J284" s="1"/>
      <c r="K284" s="1"/>
    </row>
    <row r="285" spans="4:11" ht="15.75" customHeight="1" x14ac:dyDescent="0.25">
      <c r="D285" s="1"/>
      <c r="E285" s="2"/>
      <c r="F285" s="1"/>
      <c r="G285" s="1"/>
      <c r="H285" s="1"/>
      <c r="I285" s="1"/>
      <c r="J285" s="1"/>
      <c r="K285" s="1"/>
    </row>
    <row r="286" spans="4:11" ht="15.75" customHeight="1" x14ac:dyDescent="0.25">
      <c r="D286" s="1"/>
      <c r="E286" s="2"/>
      <c r="F286" s="1"/>
      <c r="G286" s="1"/>
      <c r="H286" s="1"/>
      <c r="I286" s="1"/>
      <c r="J286" s="1"/>
      <c r="K286" s="1"/>
    </row>
    <row r="287" spans="4:11" ht="15.75" customHeight="1" x14ac:dyDescent="0.25">
      <c r="D287" s="1"/>
      <c r="E287" s="2"/>
      <c r="F287" s="1"/>
      <c r="G287" s="1"/>
      <c r="H287" s="1"/>
      <c r="I287" s="1"/>
      <c r="J287" s="1"/>
      <c r="K287" s="1"/>
    </row>
    <row r="288" spans="4:11" ht="15.75" customHeight="1" x14ac:dyDescent="0.25">
      <c r="D288" s="1"/>
      <c r="E288" s="2"/>
      <c r="F288" s="1"/>
      <c r="G288" s="1"/>
      <c r="H288" s="1"/>
      <c r="I288" s="1"/>
      <c r="J288" s="1"/>
      <c r="K288" s="1"/>
    </row>
    <row r="289" spans="4:11" ht="15.75" customHeight="1" x14ac:dyDescent="0.25">
      <c r="D289" s="1"/>
      <c r="E289" s="2"/>
      <c r="F289" s="1"/>
      <c r="G289" s="1"/>
      <c r="H289" s="1"/>
      <c r="I289" s="1"/>
      <c r="J289" s="1"/>
      <c r="K289" s="1"/>
    </row>
    <row r="290" spans="4:11" ht="15.75" customHeight="1" x14ac:dyDescent="0.25">
      <c r="D290" s="1"/>
      <c r="E290" s="2"/>
      <c r="F290" s="1"/>
      <c r="G290" s="1"/>
      <c r="H290" s="1"/>
      <c r="I290" s="1"/>
      <c r="J290" s="1"/>
      <c r="K290" s="1"/>
    </row>
    <row r="291" spans="4:11" ht="15.75" customHeight="1" x14ac:dyDescent="0.25">
      <c r="D291" s="1"/>
      <c r="E291" s="2"/>
      <c r="F291" s="1"/>
      <c r="G291" s="1"/>
      <c r="H291" s="1"/>
      <c r="I291" s="1"/>
      <c r="J291" s="1"/>
      <c r="K291" s="1"/>
    </row>
    <row r="292" spans="4:11" ht="15.75" customHeight="1" x14ac:dyDescent="0.25">
      <c r="D292" s="1"/>
      <c r="E292" s="2"/>
      <c r="F292" s="1"/>
      <c r="G292" s="1"/>
      <c r="H292" s="1"/>
      <c r="I292" s="1"/>
      <c r="J292" s="1"/>
      <c r="K292" s="1"/>
    </row>
    <row r="293" spans="4:11" ht="15.75" customHeight="1" x14ac:dyDescent="0.25">
      <c r="D293" s="1"/>
      <c r="E293" s="2"/>
      <c r="F293" s="1"/>
      <c r="G293" s="1"/>
      <c r="H293" s="1"/>
      <c r="I293" s="1"/>
      <c r="J293" s="1"/>
      <c r="K293" s="1"/>
    </row>
    <row r="294" spans="4:11" ht="15.75" customHeight="1" x14ac:dyDescent="0.25">
      <c r="D294" s="1"/>
      <c r="E294" s="2"/>
      <c r="F294" s="1"/>
      <c r="G294" s="1"/>
      <c r="H294" s="1"/>
      <c r="I294" s="1"/>
      <c r="J294" s="1"/>
      <c r="K294" s="1"/>
    </row>
    <row r="295" spans="4:11" ht="15.75" customHeight="1" x14ac:dyDescent="0.25">
      <c r="D295" s="1"/>
      <c r="E295" s="2"/>
      <c r="F295" s="1"/>
      <c r="G295" s="1"/>
      <c r="H295" s="1"/>
      <c r="I295" s="1"/>
      <c r="J295" s="1"/>
      <c r="K295" s="1"/>
    </row>
    <row r="296" spans="4:11" ht="15.75" customHeight="1" x14ac:dyDescent="0.25">
      <c r="D296" s="1"/>
      <c r="E296" s="2"/>
      <c r="F296" s="1"/>
      <c r="G296" s="1"/>
      <c r="H296" s="1"/>
      <c r="I296" s="1"/>
      <c r="J296" s="1"/>
      <c r="K296" s="1"/>
    </row>
    <row r="297" spans="4:11" ht="15.75" customHeight="1" x14ac:dyDescent="0.25">
      <c r="D297" s="1"/>
      <c r="E297" s="2"/>
      <c r="F297" s="1"/>
      <c r="G297" s="1"/>
      <c r="H297" s="1"/>
      <c r="I297" s="1"/>
      <c r="J297" s="1"/>
      <c r="K297" s="1"/>
    </row>
    <row r="298" spans="4:11" ht="15.75" customHeight="1" x14ac:dyDescent="0.25">
      <c r="D298" s="1"/>
      <c r="E298" s="2"/>
      <c r="F298" s="1"/>
      <c r="G298" s="1"/>
      <c r="H298" s="1"/>
      <c r="I298" s="1"/>
      <c r="J298" s="1"/>
      <c r="K298" s="1"/>
    </row>
    <row r="299" spans="4:11" ht="15.75" customHeight="1" x14ac:dyDescent="0.25">
      <c r="D299" s="1"/>
      <c r="E299" s="2"/>
      <c r="F299" s="1"/>
      <c r="G299" s="1"/>
      <c r="H299" s="1"/>
      <c r="I299" s="1"/>
      <c r="J299" s="1"/>
      <c r="K299" s="1"/>
    </row>
    <row r="300" spans="4:11" ht="15.75" customHeight="1" x14ac:dyDescent="0.25">
      <c r="D300" s="1"/>
      <c r="E300" s="2"/>
      <c r="F300" s="1"/>
      <c r="G300" s="1"/>
      <c r="H300" s="1"/>
      <c r="I300" s="1"/>
      <c r="J300" s="1"/>
      <c r="K300" s="1"/>
    </row>
    <row r="301" spans="4:11" ht="15.75" customHeight="1" x14ac:dyDescent="0.25">
      <c r="D301" s="1"/>
      <c r="E301" s="2"/>
      <c r="F301" s="1"/>
      <c r="G301" s="1"/>
      <c r="H301" s="1"/>
      <c r="I301" s="1"/>
      <c r="J301" s="1"/>
      <c r="K301" s="1"/>
    </row>
    <row r="302" spans="4:11" ht="15.75" customHeight="1" x14ac:dyDescent="0.25">
      <c r="D302" s="1"/>
      <c r="E302" s="2"/>
      <c r="F302" s="1"/>
      <c r="G302" s="1"/>
      <c r="H302" s="1"/>
      <c r="I302" s="1"/>
      <c r="J302" s="1"/>
      <c r="K302" s="1"/>
    </row>
    <row r="303" spans="4:11" ht="15.75" customHeight="1" x14ac:dyDescent="0.25">
      <c r="D303" s="1"/>
      <c r="E303" s="2"/>
      <c r="F303" s="1"/>
      <c r="G303" s="1"/>
      <c r="H303" s="1"/>
      <c r="I303" s="1"/>
      <c r="J303" s="1"/>
      <c r="K303" s="1"/>
    </row>
    <row r="304" spans="4:11" ht="15.75" customHeight="1" x14ac:dyDescent="0.25">
      <c r="D304" s="1"/>
      <c r="E304" s="2"/>
      <c r="F304" s="1"/>
      <c r="G304" s="1"/>
      <c r="H304" s="1"/>
      <c r="I304" s="1"/>
      <c r="J304" s="1"/>
      <c r="K304" s="1"/>
    </row>
    <row r="305" spans="4:11" ht="15.75" customHeight="1" x14ac:dyDescent="0.25">
      <c r="D305" s="1"/>
      <c r="E305" s="2"/>
      <c r="F305" s="1"/>
      <c r="G305" s="1"/>
      <c r="H305" s="1"/>
      <c r="I305" s="1"/>
      <c r="J305" s="1"/>
      <c r="K305" s="1"/>
    </row>
    <row r="306" spans="4:11" ht="15.75" customHeight="1" x14ac:dyDescent="0.25">
      <c r="D306" s="1"/>
      <c r="E306" s="2"/>
      <c r="F306" s="1"/>
      <c r="G306" s="1"/>
      <c r="H306" s="1"/>
      <c r="I306" s="1"/>
      <c r="J306" s="1"/>
      <c r="K306" s="1"/>
    </row>
    <row r="307" spans="4:11" ht="15.75" customHeight="1" x14ac:dyDescent="0.25">
      <c r="D307" s="1"/>
      <c r="E307" s="2"/>
      <c r="F307" s="1"/>
      <c r="G307" s="1"/>
      <c r="H307" s="1"/>
      <c r="I307" s="1"/>
      <c r="J307" s="1"/>
      <c r="K307" s="1"/>
    </row>
    <row r="308" spans="4:11" ht="15.75" customHeight="1" x14ac:dyDescent="0.25">
      <c r="D308" s="1"/>
      <c r="E308" s="2"/>
      <c r="F308" s="1"/>
      <c r="G308" s="1"/>
      <c r="H308" s="1"/>
      <c r="I308" s="1"/>
      <c r="J308" s="1"/>
      <c r="K308" s="1"/>
    </row>
    <row r="309" spans="4:11" ht="15.75" customHeight="1" x14ac:dyDescent="0.25">
      <c r="D309" s="1"/>
      <c r="E309" s="2"/>
      <c r="F309" s="1"/>
      <c r="G309" s="1"/>
      <c r="H309" s="1"/>
      <c r="I309" s="1"/>
      <c r="J309" s="1"/>
      <c r="K309" s="1"/>
    </row>
    <row r="310" spans="4:11" ht="15.75" customHeight="1" x14ac:dyDescent="0.25">
      <c r="D310" s="1"/>
      <c r="E310" s="2"/>
      <c r="F310" s="1"/>
      <c r="G310" s="1"/>
      <c r="H310" s="1"/>
      <c r="I310" s="1"/>
      <c r="J310" s="1"/>
      <c r="K310" s="1"/>
    </row>
    <row r="311" spans="4:11" ht="15.75" customHeight="1" x14ac:dyDescent="0.25">
      <c r="D311" s="1"/>
      <c r="E311" s="2"/>
      <c r="F311" s="1"/>
      <c r="G311" s="1"/>
      <c r="H311" s="1"/>
      <c r="I311" s="1"/>
      <c r="J311" s="1"/>
      <c r="K311" s="1"/>
    </row>
    <row r="312" spans="4:11" ht="15.75" customHeight="1" x14ac:dyDescent="0.25">
      <c r="D312" s="1"/>
      <c r="E312" s="2"/>
      <c r="F312" s="1"/>
      <c r="G312" s="1"/>
      <c r="H312" s="1"/>
      <c r="I312" s="1"/>
      <c r="J312" s="1"/>
      <c r="K312" s="1"/>
    </row>
    <row r="313" spans="4:11" ht="15.75" customHeight="1" x14ac:dyDescent="0.25">
      <c r="D313" s="1"/>
      <c r="E313" s="2"/>
      <c r="F313" s="1"/>
      <c r="G313" s="1"/>
      <c r="H313" s="1"/>
      <c r="I313" s="1"/>
      <c r="J313" s="1"/>
      <c r="K313" s="1"/>
    </row>
    <row r="314" spans="4:11" ht="15.75" customHeight="1" x14ac:dyDescent="0.25">
      <c r="D314" s="1"/>
      <c r="E314" s="2"/>
      <c r="F314" s="1"/>
      <c r="G314" s="1"/>
      <c r="H314" s="1"/>
      <c r="I314" s="1"/>
      <c r="J314" s="1"/>
      <c r="K314" s="1"/>
    </row>
    <row r="315" spans="4:11" ht="15.75" customHeight="1" x14ac:dyDescent="0.25">
      <c r="D315" s="1"/>
      <c r="E315" s="2"/>
      <c r="F315" s="1"/>
      <c r="G315" s="1"/>
      <c r="H315" s="1"/>
      <c r="I315" s="1"/>
      <c r="J315" s="1"/>
      <c r="K315" s="1"/>
    </row>
    <row r="316" spans="4:11" ht="15.75" customHeight="1" x14ac:dyDescent="0.25">
      <c r="D316" s="1"/>
      <c r="E316" s="2"/>
      <c r="F316" s="1"/>
      <c r="G316" s="1"/>
      <c r="H316" s="1"/>
      <c r="I316" s="1"/>
      <c r="J316" s="1"/>
      <c r="K316" s="1"/>
    </row>
    <row r="317" spans="4:11" ht="15.75" customHeight="1" x14ac:dyDescent="0.25">
      <c r="D317" s="1"/>
      <c r="E317" s="2"/>
      <c r="F317" s="1"/>
      <c r="G317" s="1"/>
      <c r="H317" s="1"/>
      <c r="I317" s="1"/>
      <c r="J317" s="1"/>
      <c r="K317" s="1"/>
    </row>
    <row r="318" spans="4:11" ht="15.75" customHeight="1" x14ac:dyDescent="0.25">
      <c r="D318" s="1"/>
      <c r="E318" s="2"/>
      <c r="F318" s="1"/>
      <c r="G318" s="1"/>
      <c r="H318" s="1"/>
      <c r="I318" s="1"/>
      <c r="J318" s="1"/>
      <c r="K318" s="1"/>
    </row>
    <row r="319" spans="4:11" ht="15.75" customHeight="1" x14ac:dyDescent="0.25">
      <c r="D319" s="1"/>
      <c r="E319" s="2"/>
      <c r="F319" s="1"/>
      <c r="G319" s="1"/>
      <c r="H319" s="1"/>
      <c r="I319" s="1"/>
      <c r="J319" s="1"/>
      <c r="K319" s="1"/>
    </row>
    <row r="320" spans="4:11" ht="15.75" customHeight="1" x14ac:dyDescent="0.25">
      <c r="D320" s="1"/>
      <c r="E320" s="2"/>
      <c r="F320" s="1"/>
      <c r="G320" s="1"/>
      <c r="H320" s="1"/>
      <c r="I320" s="1"/>
      <c r="J320" s="1"/>
      <c r="K320" s="1"/>
    </row>
    <row r="321" spans="4:11" ht="15.75" customHeight="1" x14ac:dyDescent="0.25">
      <c r="D321" s="1"/>
      <c r="E321" s="2"/>
      <c r="F321" s="1"/>
      <c r="G321" s="1"/>
      <c r="H321" s="1"/>
      <c r="I321" s="1"/>
      <c r="J321" s="1"/>
      <c r="K321" s="1"/>
    </row>
    <row r="322" spans="4:11" ht="15.75" customHeight="1" x14ac:dyDescent="0.25">
      <c r="D322" s="1"/>
      <c r="E322" s="2"/>
      <c r="F322" s="1"/>
      <c r="G322" s="1"/>
      <c r="H322" s="1"/>
      <c r="I322" s="1"/>
      <c r="J322" s="1"/>
      <c r="K322" s="1"/>
    </row>
    <row r="323" spans="4:11" ht="15.75" customHeight="1" x14ac:dyDescent="0.25">
      <c r="D323" s="1"/>
      <c r="E323" s="2"/>
      <c r="F323" s="1"/>
      <c r="G323" s="1"/>
      <c r="H323" s="1"/>
      <c r="I323" s="1"/>
      <c r="J323" s="1"/>
      <c r="K323" s="1"/>
    </row>
    <row r="324" spans="4:11" ht="15.75" customHeight="1" x14ac:dyDescent="0.25">
      <c r="D324" s="1"/>
      <c r="E324" s="2"/>
      <c r="F324" s="1"/>
      <c r="G324" s="1"/>
      <c r="H324" s="1"/>
      <c r="I324" s="1"/>
      <c r="J324" s="1"/>
      <c r="K324" s="1"/>
    </row>
    <row r="325" spans="4:11" ht="15.75" customHeight="1" x14ac:dyDescent="0.25">
      <c r="D325" s="1"/>
      <c r="E325" s="2"/>
      <c r="F325" s="1"/>
      <c r="G325" s="1"/>
      <c r="H325" s="1"/>
      <c r="I325" s="1"/>
      <c r="J325" s="1"/>
      <c r="K325" s="1"/>
    </row>
    <row r="326" spans="4:11" ht="15.75" customHeight="1" x14ac:dyDescent="0.25">
      <c r="D326" s="1"/>
      <c r="E326" s="2"/>
      <c r="F326" s="1"/>
      <c r="G326" s="1"/>
      <c r="H326" s="1"/>
      <c r="I326" s="1"/>
      <c r="J326" s="1"/>
      <c r="K326" s="1"/>
    </row>
    <row r="327" spans="4:11" ht="15.75" customHeight="1" x14ac:dyDescent="0.25">
      <c r="D327" s="1"/>
      <c r="E327" s="2"/>
      <c r="F327" s="1"/>
      <c r="G327" s="1"/>
      <c r="H327" s="1"/>
      <c r="I327" s="1"/>
      <c r="J327" s="1"/>
      <c r="K327" s="1"/>
    </row>
    <row r="328" spans="4:11" ht="15.75" customHeight="1" x14ac:dyDescent="0.25">
      <c r="D328" s="1"/>
      <c r="E328" s="2"/>
      <c r="F328" s="1"/>
      <c r="G328" s="1"/>
      <c r="H328" s="1"/>
      <c r="I328" s="1"/>
      <c r="J328" s="1"/>
      <c r="K328" s="1"/>
    </row>
    <row r="329" spans="4:11" ht="15.75" customHeight="1" x14ac:dyDescent="0.25">
      <c r="D329" s="1"/>
      <c r="E329" s="2"/>
      <c r="F329" s="1"/>
      <c r="G329" s="1"/>
      <c r="H329" s="1"/>
      <c r="I329" s="1"/>
      <c r="J329" s="1"/>
      <c r="K329" s="1"/>
    </row>
    <row r="330" spans="4:11" ht="15.75" customHeight="1" x14ac:dyDescent="0.25">
      <c r="D330" s="1"/>
      <c r="E330" s="2"/>
      <c r="F330" s="1"/>
      <c r="G330" s="1"/>
      <c r="H330" s="1"/>
      <c r="I330" s="1"/>
      <c r="J330" s="1"/>
      <c r="K330" s="1"/>
    </row>
    <row r="331" spans="4:11" ht="15.75" customHeight="1" x14ac:dyDescent="0.25">
      <c r="D331" s="1"/>
      <c r="E331" s="2"/>
      <c r="F331" s="1"/>
      <c r="G331" s="1"/>
      <c r="H331" s="1"/>
      <c r="I331" s="1"/>
      <c r="J331" s="1"/>
      <c r="K331" s="1"/>
    </row>
    <row r="332" spans="4:11" ht="15.75" customHeight="1" x14ac:dyDescent="0.25">
      <c r="D332" s="1"/>
      <c r="E332" s="2"/>
      <c r="F332" s="1"/>
      <c r="G332" s="1"/>
      <c r="H332" s="1"/>
      <c r="I332" s="1"/>
      <c r="J332" s="1"/>
      <c r="K332" s="1"/>
    </row>
    <row r="333" spans="4:11" ht="15.75" customHeight="1" x14ac:dyDescent="0.25">
      <c r="D333" s="1"/>
      <c r="E333" s="2"/>
      <c r="F333" s="1"/>
      <c r="G333" s="1"/>
      <c r="H333" s="1"/>
      <c r="I333" s="1"/>
      <c r="J333" s="1"/>
      <c r="K333" s="1"/>
    </row>
    <row r="334" spans="4:11" ht="15.75" customHeight="1" x14ac:dyDescent="0.25">
      <c r="D334" s="1"/>
      <c r="E334" s="2"/>
      <c r="F334" s="1"/>
      <c r="G334" s="1"/>
      <c r="H334" s="1"/>
      <c r="I334" s="1"/>
      <c r="J334" s="1"/>
      <c r="K334" s="1"/>
    </row>
    <row r="335" spans="4:11" ht="15.75" customHeight="1" x14ac:dyDescent="0.25">
      <c r="D335" s="1"/>
      <c r="E335" s="2"/>
      <c r="F335" s="1"/>
      <c r="G335" s="1"/>
      <c r="H335" s="1"/>
      <c r="I335" s="1"/>
      <c r="J335" s="1"/>
      <c r="K335" s="1"/>
    </row>
    <row r="336" spans="4:11" ht="15.75" customHeight="1" x14ac:dyDescent="0.25">
      <c r="D336" s="1"/>
      <c r="E336" s="2"/>
      <c r="F336" s="1"/>
      <c r="G336" s="1"/>
      <c r="H336" s="1"/>
      <c r="I336" s="1"/>
      <c r="J336" s="1"/>
      <c r="K336" s="1"/>
    </row>
    <row r="337" spans="4:11" ht="15.75" customHeight="1" x14ac:dyDescent="0.25">
      <c r="D337" s="1"/>
      <c r="E337" s="2"/>
      <c r="F337" s="1"/>
      <c r="G337" s="1"/>
      <c r="H337" s="1"/>
      <c r="I337" s="1"/>
      <c r="J337" s="1"/>
      <c r="K337" s="1"/>
    </row>
    <row r="338" spans="4:11" ht="15.75" customHeight="1" x14ac:dyDescent="0.25">
      <c r="D338" s="1"/>
      <c r="E338" s="2"/>
      <c r="F338" s="1"/>
      <c r="G338" s="1"/>
      <c r="H338" s="1"/>
      <c r="I338" s="1"/>
      <c r="J338" s="1"/>
      <c r="K338" s="1"/>
    </row>
    <row r="339" spans="4:11" ht="15.75" customHeight="1" x14ac:dyDescent="0.25">
      <c r="D339" s="1"/>
      <c r="E339" s="2"/>
      <c r="F339" s="1"/>
      <c r="G339" s="1"/>
      <c r="H339" s="1"/>
      <c r="I339" s="1"/>
      <c r="J339" s="1"/>
      <c r="K339" s="1"/>
    </row>
    <row r="340" spans="4:11" ht="15.75" customHeight="1" x14ac:dyDescent="0.25">
      <c r="D340" s="1"/>
      <c r="E340" s="2"/>
      <c r="F340" s="1"/>
      <c r="G340" s="1"/>
      <c r="H340" s="1"/>
      <c r="I340" s="1"/>
      <c r="J340" s="1"/>
      <c r="K340" s="1"/>
    </row>
    <row r="341" spans="4:11" ht="15.75" customHeight="1" x14ac:dyDescent="0.25">
      <c r="D341" s="1"/>
      <c r="E341" s="2"/>
      <c r="F341" s="1"/>
      <c r="G341" s="1"/>
      <c r="H341" s="1"/>
      <c r="I341" s="1"/>
      <c r="J341" s="1"/>
      <c r="K341" s="1"/>
    </row>
    <row r="342" spans="4:11" ht="15.75" customHeight="1" x14ac:dyDescent="0.25">
      <c r="D342" s="1"/>
      <c r="E342" s="2"/>
      <c r="F342" s="1"/>
      <c r="G342" s="1"/>
      <c r="H342" s="1"/>
      <c r="I342" s="1"/>
      <c r="J342" s="1"/>
      <c r="K342" s="1"/>
    </row>
    <row r="343" spans="4:11" ht="15.75" customHeight="1" x14ac:dyDescent="0.25">
      <c r="D343" s="1"/>
      <c r="E343" s="2"/>
      <c r="F343" s="1"/>
      <c r="G343" s="1"/>
      <c r="H343" s="1"/>
      <c r="I343" s="1"/>
      <c r="J343" s="1"/>
      <c r="K343" s="1"/>
    </row>
    <row r="344" spans="4:11" ht="15.75" customHeight="1" x14ac:dyDescent="0.25">
      <c r="D344" s="1"/>
      <c r="E344" s="2"/>
      <c r="F344" s="1"/>
      <c r="G344" s="1"/>
      <c r="H344" s="1"/>
      <c r="I344" s="1"/>
      <c r="J344" s="1"/>
      <c r="K344" s="1"/>
    </row>
    <row r="345" spans="4:11" ht="15.75" customHeight="1" x14ac:dyDescent="0.25">
      <c r="D345" s="1"/>
      <c r="E345" s="2"/>
      <c r="F345" s="1"/>
      <c r="G345" s="1"/>
      <c r="H345" s="1"/>
      <c r="I345" s="1"/>
      <c r="J345" s="1"/>
      <c r="K345" s="1"/>
    </row>
    <row r="346" spans="4:11" ht="15.75" customHeight="1" x14ac:dyDescent="0.25">
      <c r="D346" s="1"/>
      <c r="E346" s="2"/>
      <c r="F346" s="1"/>
      <c r="G346" s="1"/>
      <c r="H346" s="1"/>
      <c r="I346" s="1"/>
      <c r="J346" s="1"/>
      <c r="K346" s="1"/>
    </row>
    <row r="347" spans="4:11" ht="15.75" customHeight="1" x14ac:dyDescent="0.25">
      <c r="D347" s="1"/>
      <c r="E347" s="2"/>
      <c r="F347" s="1"/>
      <c r="G347" s="1"/>
      <c r="H347" s="1"/>
      <c r="I347" s="1"/>
      <c r="J347" s="1"/>
      <c r="K347" s="1"/>
    </row>
    <row r="348" spans="4:11" ht="15.75" customHeight="1" x14ac:dyDescent="0.25">
      <c r="D348" s="1"/>
      <c r="E348" s="2"/>
      <c r="F348" s="1"/>
      <c r="G348" s="1"/>
      <c r="H348" s="1"/>
      <c r="I348" s="1"/>
      <c r="J348" s="1"/>
      <c r="K348" s="1"/>
    </row>
    <row r="349" spans="4:11" ht="15.75" customHeight="1" x14ac:dyDescent="0.25">
      <c r="D349" s="1"/>
      <c r="E349" s="2"/>
      <c r="F349" s="1"/>
      <c r="G349" s="1"/>
      <c r="H349" s="1"/>
      <c r="I349" s="1"/>
      <c r="J349" s="1"/>
      <c r="K349" s="1"/>
    </row>
    <row r="350" spans="4:11" ht="15.75" customHeight="1" x14ac:dyDescent="0.25">
      <c r="D350" s="1"/>
      <c r="E350" s="2"/>
      <c r="F350" s="1"/>
      <c r="G350" s="1"/>
      <c r="H350" s="1"/>
      <c r="I350" s="1"/>
      <c r="J350" s="1"/>
      <c r="K350" s="1"/>
    </row>
    <row r="351" spans="4:11" ht="15.75" customHeight="1" x14ac:dyDescent="0.25">
      <c r="D351" s="1"/>
      <c r="E351" s="2"/>
      <c r="F351" s="1"/>
      <c r="G351" s="1"/>
      <c r="H351" s="1"/>
      <c r="I351" s="1"/>
      <c r="J351" s="1"/>
      <c r="K351" s="1"/>
    </row>
    <row r="352" spans="4:11" ht="15.75" customHeight="1" x14ac:dyDescent="0.25">
      <c r="D352" s="1"/>
      <c r="E352" s="2"/>
      <c r="F352" s="1"/>
      <c r="G352" s="1"/>
      <c r="H352" s="1"/>
      <c r="I352" s="1"/>
      <c r="J352" s="1"/>
      <c r="K352" s="1"/>
    </row>
    <row r="353" spans="4:11" ht="15.75" customHeight="1" x14ac:dyDescent="0.25">
      <c r="D353" s="1"/>
      <c r="E353" s="2"/>
      <c r="F353" s="1"/>
      <c r="G353" s="1"/>
      <c r="H353" s="1"/>
      <c r="I353" s="1"/>
      <c r="J353" s="1"/>
      <c r="K353" s="1"/>
    </row>
    <row r="354" spans="4:11" ht="15.75" customHeight="1" x14ac:dyDescent="0.25">
      <c r="D354" s="1"/>
      <c r="E354" s="2"/>
      <c r="F354" s="1"/>
      <c r="G354" s="1"/>
      <c r="H354" s="1"/>
      <c r="I354" s="1"/>
      <c r="J354" s="1"/>
      <c r="K354" s="1"/>
    </row>
    <row r="355" spans="4:11" ht="15.75" customHeight="1" x14ac:dyDescent="0.25">
      <c r="D355" s="1"/>
      <c r="E355" s="2"/>
      <c r="F355" s="1"/>
      <c r="G355" s="1"/>
      <c r="H355" s="1"/>
      <c r="I355" s="1"/>
      <c r="J355" s="1"/>
      <c r="K355" s="1"/>
    </row>
    <row r="356" spans="4:11" ht="15.75" customHeight="1" x14ac:dyDescent="0.25">
      <c r="D356" s="1"/>
      <c r="E356" s="2"/>
      <c r="F356" s="1"/>
      <c r="G356" s="1"/>
      <c r="H356" s="1"/>
      <c r="I356" s="1"/>
      <c r="J356" s="1"/>
      <c r="K356" s="1"/>
    </row>
    <row r="357" spans="4:11" ht="15.75" customHeight="1" x14ac:dyDescent="0.25">
      <c r="D357" s="1"/>
      <c r="E357" s="2"/>
      <c r="F357" s="1"/>
      <c r="G357" s="1"/>
      <c r="H357" s="1"/>
      <c r="I357" s="1"/>
      <c r="J357" s="1"/>
      <c r="K357" s="1"/>
    </row>
    <row r="358" spans="4:11" ht="15.75" customHeight="1" x14ac:dyDescent="0.25">
      <c r="D358" s="1"/>
      <c r="E358" s="2"/>
      <c r="F358" s="1"/>
      <c r="G358" s="1"/>
      <c r="H358" s="1"/>
      <c r="I358" s="1"/>
      <c r="J358" s="1"/>
      <c r="K358" s="1"/>
    </row>
    <row r="359" spans="4:11" ht="15.75" customHeight="1" x14ac:dyDescent="0.25">
      <c r="D359" s="1"/>
      <c r="E359" s="2"/>
      <c r="F359" s="1"/>
      <c r="G359" s="1"/>
      <c r="H359" s="1"/>
      <c r="I359" s="1"/>
      <c r="J359" s="1"/>
      <c r="K359" s="1"/>
    </row>
    <row r="360" spans="4:11" ht="15.75" customHeight="1" x14ac:dyDescent="0.25">
      <c r="D360" s="1"/>
      <c r="E360" s="2"/>
      <c r="F360" s="1"/>
      <c r="G360" s="1"/>
      <c r="H360" s="1"/>
      <c r="I360" s="1"/>
      <c r="J360" s="1"/>
      <c r="K360" s="1"/>
    </row>
    <row r="361" spans="4:11" ht="15.75" customHeight="1" x14ac:dyDescent="0.25">
      <c r="D361" s="1"/>
      <c r="E361" s="2"/>
      <c r="F361" s="1"/>
      <c r="G361" s="1"/>
      <c r="H361" s="1"/>
      <c r="I361" s="1"/>
      <c r="J361" s="1"/>
      <c r="K361" s="1"/>
    </row>
    <row r="362" spans="4:11" ht="15.75" customHeight="1" x14ac:dyDescent="0.25">
      <c r="D362" s="1"/>
      <c r="E362" s="2"/>
      <c r="F362" s="1"/>
      <c r="G362" s="1"/>
      <c r="H362" s="1"/>
      <c r="I362" s="1"/>
      <c r="J362" s="1"/>
      <c r="K362" s="1"/>
    </row>
    <row r="363" spans="4:11" ht="15.75" customHeight="1" x14ac:dyDescent="0.25">
      <c r="D363" s="1"/>
      <c r="E363" s="2"/>
      <c r="F363" s="1"/>
      <c r="G363" s="1"/>
      <c r="H363" s="1"/>
      <c r="I363" s="1"/>
      <c r="J363" s="1"/>
      <c r="K363" s="1"/>
    </row>
    <row r="364" spans="4:11" ht="15.75" customHeight="1" x14ac:dyDescent="0.25">
      <c r="D364" s="1"/>
      <c r="E364" s="2"/>
      <c r="F364" s="1"/>
      <c r="G364" s="1"/>
      <c r="H364" s="1"/>
      <c r="I364" s="1"/>
      <c r="J364" s="1"/>
      <c r="K364" s="1"/>
    </row>
    <row r="365" spans="4:11" ht="15.75" customHeight="1" x14ac:dyDescent="0.25">
      <c r="D365" s="1"/>
      <c r="E365" s="2"/>
      <c r="F365" s="1"/>
      <c r="G365" s="1"/>
      <c r="H365" s="1"/>
      <c r="I365" s="1"/>
      <c r="J365" s="1"/>
      <c r="K365" s="1"/>
    </row>
    <row r="366" spans="4:11" ht="15.75" customHeight="1" x14ac:dyDescent="0.25">
      <c r="D366" s="1"/>
      <c r="E366" s="2"/>
      <c r="F366" s="1"/>
      <c r="G366" s="1"/>
      <c r="H366" s="1"/>
      <c r="I366" s="1"/>
      <c r="J366" s="1"/>
      <c r="K366" s="1"/>
    </row>
    <row r="367" spans="4:11" ht="15.75" customHeight="1" x14ac:dyDescent="0.25">
      <c r="D367" s="1"/>
      <c r="E367" s="2"/>
      <c r="F367" s="1"/>
      <c r="G367" s="1"/>
      <c r="H367" s="1"/>
      <c r="I367" s="1"/>
      <c r="J367" s="1"/>
      <c r="K367" s="1"/>
    </row>
    <row r="368" spans="4:11" ht="15.75" customHeight="1" x14ac:dyDescent="0.25">
      <c r="D368" s="1"/>
      <c r="E368" s="2"/>
      <c r="F368" s="1"/>
      <c r="G368" s="1"/>
      <c r="H368" s="1"/>
      <c r="I368" s="1"/>
      <c r="J368" s="1"/>
      <c r="K368" s="1"/>
    </row>
    <row r="369" spans="4:11" ht="15.75" customHeight="1" x14ac:dyDescent="0.25">
      <c r="D369" s="1"/>
      <c r="E369" s="2"/>
      <c r="F369" s="1"/>
      <c r="G369" s="1"/>
      <c r="H369" s="1"/>
      <c r="I369" s="1"/>
      <c r="J369" s="1"/>
      <c r="K369" s="1"/>
    </row>
    <row r="370" spans="4:11" ht="15.75" customHeight="1" x14ac:dyDescent="0.25">
      <c r="D370" s="1"/>
      <c r="E370" s="2"/>
      <c r="F370" s="1"/>
      <c r="G370" s="1"/>
      <c r="H370" s="1"/>
      <c r="I370" s="1"/>
      <c r="J370" s="1"/>
      <c r="K370" s="1"/>
    </row>
    <row r="371" spans="4:11" ht="15.75" customHeight="1" x14ac:dyDescent="0.25">
      <c r="D371" s="1"/>
      <c r="E371" s="2"/>
      <c r="F371" s="1"/>
      <c r="G371" s="1"/>
      <c r="H371" s="1"/>
      <c r="I371" s="1"/>
      <c r="J371" s="1"/>
      <c r="K371" s="1"/>
    </row>
    <row r="372" spans="4:11" ht="15.75" customHeight="1" x14ac:dyDescent="0.25">
      <c r="D372" s="1"/>
      <c r="E372" s="2"/>
      <c r="F372" s="1"/>
      <c r="G372" s="1"/>
      <c r="H372" s="1"/>
      <c r="I372" s="1"/>
      <c r="J372" s="1"/>
      <c r="K372" s="1"/>
    </row>
    <row r="373" spans="4:11" ht="15.75" customHeight="1" x14ac:dyDescent="0.25">
      <c r="D373" s="1"/>
      <c r="E373" s="2"/>
      <c r="F373" s="1"/>
      <c r="G373" s="1"/>
      <c r="H373" s="1"/>
      <c r="I373" s="1"/>
      <c r="J373" s="1"/>
      <c r="K373" s="1"/>
    </row>
    <row r="374" spans="4:11" ht="15.75" customHeight="1" x14ac:dyDescent="0.25">
      <c r="D374" s="1"/>
      <c r="E374" s="2"/>
      <c r="F374" s="1"/>
      <c r="G374" s="1"/>
      <c r="H374" s="1"/>
      <c r="I374" s="1"/>
      <c r="J374" s="1"/>
      <c r="K374" s="1"/>
    </row>
    <row r="375" spans="4:11" ht="15.75" customHeight="1" x14ac:dyDescent="0.25">
      <c r="D375" s="1"/>
      <c r="E375" s="2"/>
      <c r="F375" s="1"/>
      <c r="G375" s="1"/>
      <c r="H375" s="1"/>
      <c r="I375" s="1"/>
      <c r="J375" s="1"/>
      <c r="K375" s="1"/>
    </row>
    <row r="376" spans="4:11" ht="15.75" customHeight="1" x14ac:dyDescent="0.25">
      <c r="D376" s="1"/>
      <c r="E376" s="2"/>
      <c r="F376" s="1"/>
      <c r="G376" s="1"/>
      <c r="H376" s="1"/>
      <c r="I376" s="1"/>
      <c r="J376" s="1"/>
      <c r="K376" s="1"/>
    </row>
    <row r="377" spans="4:11" ht="15.75" customHeight="1" x14ac:dyDescent="0.25">
      <c r="D377" s="1"/>
      <c r="E377" s="2"/>
      <c r="F377" s="1"/>
      <c r="G377" s="1"/>
      <c r="H377" s="1"/>
      <c r="I377" s="1"/>
      <c r="J377" s="1"/>
      <c r="K377" s="1"/>
    </row>
    <row r="378" spans="4:11" ht="15.75" customHeight="1" x14ac:dyDescent="0.25">
      <c r="D378" s="1"/>
      <c r="E378" s="2"/>
      <c r="F378" s="1"/>
      <c r="G378" s="1"/>
      <c r="H378" s="1"/>
      <c r="I378" s="1"/>
      <c r="J378" s="1"/>
      <c r="K378" s="1"/>
    </row>
    <row r="379" spans="4:11" ht="15.75" customHeight="1" x14ac:dyDescent="0.25">
      <c r="D379" s="1"/>
      <c r="E379" s="2"/>
      <c r="F379" s="1"/>
      <c r="G379" s="1"/>
      <c r="H379" s="1"/>
      <c r="I379" s="1"/>
      <c r="J379" s="1"/>
      <c r="K379" s="1"/>
    </row>
    <row r="380" spans="4:11" ht="15.75" customHeight="1" x14ac:dyDescent="0.25">
      <c r="D380" s="1"/>
      <c r="E380" s="2"/>
      <c r="F380" s="1"/>
      <c r="G380" s="1"/>
      <c r="H380" s="1"/>
      <c r="I380" s="1"/>
      <c r="J380" s="1"/>
      <c r="K380" s="1"/>
    </row>
    <row r="381" spans="4:11" ht="15.75" customHeight="1" x14ac:dyDescent="0.25">
      <c r="D381" s="1"/>
      <c r="E381" s="2"/>
      <c r="F381" s="1"/>
      <c r="G381" s="1"/>
      <c r="H381" s="1"/>
      <c r="I381" s="1"/>
      <c r="J381" s="1"/>
      <c r="K381" s="1"/>
    </row>
    <row r="382" spans="4:11" ht="15.75" customHeight="1" x14ac:dyDescent="0.25">
      <c r="D382" s="1"/>
      <c r="E382" s="2"/>
      <c r="F382" s="1"/>
      <c r="G382" s="1"/>
      <c r="H382" s="1"/>
      <c r="I382" s="1"/>
      <c r="J382" s="1"/>
      <c r="K382" s="1"/>
    </row>
    <row r="383" spans="4:11" ht="15.75" customHeight="1" x14ac:dyDescent="0.25">
      <c r="D383" s="1"/>
      <c r="E383" s="2"/>
      <c r="F383" s="1"/>
      <c r="G383" s="1"/>
      <c r="H383" s="1"/>
      <c r="I383" s="1"/>
      <c r="J383" s="1"/>
      <c r="K383" s="1"/>
    </row>
    <row r="384" spans="4:11" ht="15.75" customHeight="1" x14ac:dyDescent="0.25">
      <c r="D384" s="1"/>
      <c r="E384" s="2"/>
      <c r="F384" s="1"/>
      <c r="G384" s="1"/>
      <c r="H384" s="1"/>
      <c r="I384" s="1"/>
      <c r="J384" s="1"/>
      <c r="K384" s="1"/>
    </row>
    <row r="385" spans="4:11" ht="15.75" customHeight="1" x14ac:dyDescent="0.25">
      <c r="D385" s="1"/>
      <c r="E385" s="2"/>
      <c r="F385" s="1"/>
      <c r="G385" s="1"/>
      <c r="H385" s="1"/>
      <c r="I385" s="1"/>
      <c r="J385" s="1"/>
      <c r="K385" s="1"/>
    </row>
    <row r="386" spans="4:11" ht="15.75" customHeight="1" x14ac:dyDescent="0.25">
      <c r="D386" s="1"/>
      <c r="E386" s="2"/>
      <c r="F386" s="1"/>
      <c r="G386" s="1"/>
      <c r="H386" s="1"/>
      <c r="I386" s="1"/>
      <c r="J386" s="1"/>
      <c r="K386" s="1"/>
    </row>
    <row r="387" spans="4:11" ht="15.75" customHeight="1" x14ac:dyDescent="0.25">
      <c r="D387" s="1"/>
      <c r="E387" s="2"/>
      <c r="F387" s="1"/>
      <c r="G387" s="1"/>
      <c r="H387" s="1"/>
      <c r="I387" s="1"/>
      <c r="J387" s="1"/>
      <c r="K387" s="1"/>
    </row>
    <row r="388" spans="4:11" ht="15.75" customHeight="1" x14ac:dyDescent="0.25">
      <c r="D388" s="1"/>
      <c r="E388" s="2"/>
      <c r="F388" s="1"/>
      <c r="G388" s="1"/>
      <c r="H388" s="1"/>
      <c r="I388" s="1"/>
      <c r="J388" s="1"/>
      <c r="K388" s="1"/>
    </row>
    <row r="389" spans="4:11" ht="15.75" customHeight="1" x14ac:dyDescent="0.25">
      <c r="D389" s="1"/>
      <c r="E389" s="2"/>
      <c r="F389" s="1"/>
      <c r="G389" s="1"/>
      <c r="H389" s="1"/>
      <c r="I389" s="1"/>
      <c r="J389" s="1"/>
      <c r="K389" s="1"/>
    </row>
    <row r="390" spans="4:11" ht="15.75" customHeight="1" x14ac:dyDescent="0.25">
      <c r="D390" s="1"/>
      <c r="E390" s="2"/>
      <c r="F390" s="1"/>
      <c r="G390" s="1"/>
      <c r="H390" s="1"/>
      <c r="I390" s="1"/>
      <c r="J390" s="1"/>
      <c r="K390" s="1"/>
    </row>
    <row r="391" spans="4:11" ht="15.75" customHeight="1" x14ac:dyDescent="0.25">
      <c r="D391" s="1"/>
      <c r="E391" s="2"/>
      <c r="F391" s="1"/>
      <c r="G391" s="1"/>
      <c r="H391" s="1"/>
      <c r="I391" s="1"/>
      <c r="J391" s="1"/>
      <c r="K391" s="1"/>
    </row>
    <row r="392" spans="4:11" ht="15.75" customHeight="1" x14ac:dyDescent="0.25">
      <c r="D392" s="1"/>
      <c r="E392" s="2"/>
      <c r="F392" s="1"/>
      <c r="G392" s="1"/>
      <c r="H392" s="1"/>
      <c r="I392" s="1"/>
      <c r="J392" s="1"/>
      <c r="K392" s="1"/>
    </row>
    <row r="393" spans="4:11" ht="15.75" customHeight="1" x14ac:dyDescent="0.25">
      <c r="D393" s="1"/>
      <c r="E393" s="2"/>
      <c r="F393" s="1"/>
      <c r="G393" s="1"/>
      <c r="H393" s="1"/>
      <c r="I393" s="1"/>
      <c r="J393" s="1"/>
      <c r="K393" s="1"/>
    </row>
    <row r="394" spans="4:11" ht="15.75" customHeight="1" x14ac:dyDescent="0.25">
      <c r="D394" s="1"/>
      <c r="E394" s="2"/>
      <c r="F394" s="1"/>
      <c r="G394" s="1"/>
      <c r="H394" s="1"/>
      <c r="I394" s="1"/>
      <c r="J394" s="1"/>
      <c r="K394" s="1"/>
    </row>
    <row r="395" spans="4:11" ht="15.75" customHeight="1" x14ac:dyDescent="0.25">
      <c r="D395" s="1"/>
      <c r="E395" s="2"/>
      <c r="F395" s="1"/>
      <c r="G395" s="1"/>
      <c r="H395" s="1"/>
      <c r="I395" s="1"/>
      <c r="J395" s="1"/>
      <c r="K395" s="1"/>
    </row>
    <row r="396" spans="4:11" ht="15.75" customHeight="1" x14ac:dyDescent="0.25">
      <c r="D396" s="1"/>
      <c r="E396" s="2"/>
      <c r="F396" s="1"/>
      <c r="G396" s="1"/>
      <c r="H396" s="1"/>
      <c r="I396" s="1"/>
      <c r="J396" s="1"/>
      <c r="K396" s="1"/>
    </row>
    <row r="397" spans="4:11" ht="15.75" customHeight="1" x14ac:dyDescent="0.25">
      <c r="D397" s="1"/>
      <c r="E397" s="2"/>
      <c r="F397" s="1"/>
      <c r="G397" s="1"/>
      <c r="H397" s="1"/>
      <c r="I397" s="1"/>
      <c r="J397" s="1"/>
      <c r="K397" s="1"/>
    </row>
    <row r="398" spans="4:11" ht="15.75" customHeight="1" x14ac:dyDescent="0.25">
      <c r="D398" s="1"/>
      <c r="E398" s="2"/>
      <c r="F398" s="1"/>
      <c r="G398" s="1"/>
      <c r="H398" s="1"/>
      <c r="I398" s="1"/>
      <c r="J398" s="1"/>
      <c r="K398" s="1"/>
    </row>
    <row r="399" spans="4:11" ht="15.75" customHeight="1" x14ac:dyDescent="0.25">
      <c r="D399" s="1"/>
      <c r="E399" s="2"/>
      <c r="F399" s="1"/>
      <c r="G399" s="1"/>
      <c r="H399" s="1"/>
      <c r="I399" s="1"/>
      <c r="J399" s="1"/>
      <c r="K399" s="1"/>
    </row>
    <row r="400" spans="4:11" ht="15.75" customHeight="1" x14ac:dyDescent="0.25">
      <c r="D400" s="1"/>
      <c r="E400" s="2"/>
      <c r="F400" s="1"/>
      <c r="G400" s="1"/>
      <c r="H400" s="1"/>
      <c r="I400" s="1"/>
      <c r="J400" s="1"/>
      <c r="K400" s="1"/>
    </row>
    <row r="401" spans="4:11" ht="15.75" customHeight="1" x14ac:dyDescent="0.25">
      <c r="D401" s="1"/>
      <c r="E401" s="2"/>
      <c r="F401" s="1"/>
      <c r="G401" s="1"/>
      <c r="H401" s="1"/>
      <c r="I401" s="1"/>
      <c r="J401" s="1"/>
      <c r="K401" s="1"/>
    </row>
    <row r="402" spans="4:11" ht="15.75" customHeight="1" x14ac:dyDescent="0.25">
      <c r="D402" s="1"/>
      <c r="E402" s="2"/>
      <c r="F402" s="1"/>
      <c r="G402" s="1"/>
      <c r="H402" s="1"/>
      <c r="I402" s="1"/>
      <c r="J402" s="1"/>
      <c r="K402" s="1"/>
    </row>
    <row r="403" spans="4:11" ht="15.75" customHeight="1" x14ac:dyDescent="0.25">
      <c r="D403" s="1"/>
      <c r="E403" s="2"/>
      <c r="F403" s="1"/>
      <c r="G403" s="1"/>
      <c r="H403" s="1"/>
      <c r="I403" s="1"/>
      <c r="J403" s="1"/>
      <c r="K403" s="1"/>
    </row>
    <row r="404" spans="4:11" ht="15.75" customHeight="1" x14ac:dyDescent="0.25">
      <c r="D404" s="1"/>
      <c r="E404" s="2"/>
      <c r="F404" s="1"/>
      <c r="G404" s="1"/>
      <c r="H404" s="1"/>
      <c r="I404" s="1"/>
      <c r="J404" s="1"/>
      <c r="K404" s="1"/>
    </row>
    <row r="405" spans="4:11" ht="15.75" customHeight="1" x14ac:dyDescent="0.25">
      <c r="D405" s="1"/>
      <c r="E405" s="2"/>
      <c r="F405" s="1"/>
      <c r="G405" s="1"/>
      <c r="H405" s="1"/>
      <c r="I405" s="1"/>
      <c r="J405" s="1"/>
      <c r="K405" s="1"/>
    </row>
    <row r="406" spans="4:11" ht="15.75" customHeight="1" x14ac:dyDescent="0.25">
      <c r="D406" s="1"/>
      <c r="E406" s="2"/>
      <c r="F406" s="1"/>
      <c r="G406" s="1"/>
      <c r="H406" s="1"/>
      <c r="I406" s="1"/>
      <c r="J406" s="1"/>
      <c r="K406" s="1"/>
    </row>
    <row r="407" spans="4:11" ht="15.75" customHeight="1" x14ac:dyDescent="0.25">
      <c r="D407" s="1"/>
      <c r="E407" s="2"/>
      <c r="F407" s="1"/>
      <c r="G407" s="1"/>
      <c r="H407" s="1"/>
      <c r="I407" s="1"/>
      <c r="J407" s="1"/>
      <c r="K407" s="1"/>
    </row>
    <row r="408" spans="4:11" ht="15.75" customHeight="1" x14ac:dyDescent="0.25">
      <c r="D408" s="1"/>
      <c r="E408" s="2"/>
      <c r="F408" s="1"/>
      <c r="G408" s="1"/>
      <c r="H408" s="1"/>
      <c r="I408" s="1"/>
      <c r="J408" s="1"/>
      <c r="K408" s="1"/>
    </row>
    <row r="409" spans="4:11" ht="15.75" customHeight="1" x14ac:dyDescent="0.25">
      <c r="D409" s="1"/>
      <c r="E409" s="2"/>
      <c r="F409" s="1"/>
      <c r="G409" s="1"/>
      <c r="H409" s="1"/>
      <c r="I409" s="1"/>
      <c r="J409" s="1"/>
      <c r="K409" s="1"/>
    </row>
    <row r="410" spans="4:11" ht="15.75" customHeight="1" x14ac:dyDescent="0.25">
      <c r="D410" s="1"/>
      <c r="E410" s="2"/>
      <c r="F410" s="1"/>
      <c r="G410" s="1"/>
      <c r="H410" s="1"/>
      <c r="I410" s="1"/>
      <c r="J410" s="1"/>
      <c r="K410" s="1"/>
    </row>
    <row r="411" spans="4:11" ht="15.75" customHeight="1" x14ac:dyDescent="0.25">
      <c r="D411" s="1"/>
      <c r="E411" s="2"/>
      <c r="F411" s="1"/>
      <c r="G411" s="1"/>
      <c r="H411" s="1"/>
      <c r="I411" s="1"/>
      <c r="J411" s="1"/>
      <c r="K411" s="1"/>
    </row>
    <row r="412" spans="4:11" ht="15.75" customHeight="1" x14ac:dyDescent="0.25">
      <c r="D412" s="1"/>
      <c r="E412" s="2"/>
      <c r="F412" s="1"/>
      <c r="G412" s="1"/>
      <c r="H412" s="1"/>
      <c r="I412" s="1"/>
      <c r="J412" s="1"/>
      <c r="K412" s="1"/>
    </row>
    <row r="413" spans="4:11" ht="15.75" customHeight="1" x14ac:dyDescent="0.25">
      <c r="D413" s="1"/>
      <c r="E413" s="2"/>
      <c r="F413" s="1"/>
      <c r="G413" s="1"/>
      <c r="H413" s="1"/>
      <c r="I413" s="1"/>
      <c r="J413" s="1"/>
      <c r="K413" s="1"/>
    </row>
    <row r="414" spans="4:11" ht="15.75" customHeight="1" x14ac:dyDescent="0.25">
      <c r="D414" s="1"/>
      <c r="E414" s="2"/>
      <c r="F414" s="1"/>
      <c r="G414" s="1"/>
      <c r="H414" s="1"/>
      <c r="I414" s="1"/>
      <c r="J414" s="1"/>
      <c r="K414" s="1"/>
    </row>
    <row r="415" spans="4:11" ht="15.75" customHeight="1" x14ac:dyDescent="0.25">
      <c r="D415" s="1"/>
      <c r="E415" s="2"/>
      <c r="F415" s="1"/>
      <c r="G415" s="1"/>
      <c r="H415" s="1"/>
      <c r="I415" s="1"/>
      <c r="J415" s="1"/>
      <c r="K415" s="1"/>
    </row>
    <row r="416" spans="4:11" ht="15.75" customHeight="1" x14ac:dyDescent="0.25">
      <c r="D416" s="1"/>
      <c r="E416" s="2"/>
      <c r="F416" s="1"/>
      <c r="G416" s="1"/>
      <c r="H416" s="1"/>
      <c r="I416" s="1"/>
      <c r="J416" s="1"/>
      <c r="K416" s="1"/>
    </row>
    <row r="417" spans="4:11" ht="15.75" customHeight="1" x14ac:dyDescent="0.25">
      <c r="D417" s="1"/>
      <c r="E417" s="2"/>
      <c r="F417" s="1"/>
      <c r="G417" s="1"/>
      <c r="H417" s="1"/>
      <c r="I417" s="1"/>
      <c r="J417" s="1"/>
      <c r="K417" s="1"/>
    </row>
    <row r="418" spans="4:11" ht="15.75" customHeight="1" x14ac:dyDescent="0.25">
      <c r="D418" s="1"/>
      <c r="E418" s="2"/>
      <c r="F418" s="1"/>
      <c r="G418" s="1"/>
      <c r="H418" s="1"/>
      <c r="I418" s="1"/>
      <c r="J418" s="1"/>
      <c r="K418" s="1"/>
    </row>
    <row r="419" spans="4:11" ht="15.75" customHeight="1" x14ac:dyDescent="0.25">
      <c r="D419" s="1"/>
      <c r="E419" s="2"/>
      <c r="F419" s="1"/>
      <c r="G419" s="1"/>
      <c r="H419" s="1"/>
      <c r="I419" s="1"/>
      <c r="J419" s="1"/>
      <c r="K419" s="1"/>
    </row>
    <row r="420" spans="4:11" ht="15.75" customHeight="1" x14ac:dyDescent="0.25">
      <c r="D420" s="1"/>
      <c r="E420" s="2"/>
      <c r="F420" s="1"/>
      <c r="G420" s="1"/>
      <c r="H420" s="1"/>
      <c r="I420" s="1"/>
      <c r="J420" s="1"/>
      <c r="K420" s="1"/>
    </row>
    <row r="421" spans="4:11" ht="15.75" customHeight="1" x14ac:dyDescent="0.25">
      <c r="D421" s="1"/>
      <c r="E421" s="2"/>
      <c r="F421" s="1"/>
      <c r="G421" s="1"/>
      <c r="H421" s="1"/>
      <c r="I421" s="1"/>
      <c r="J421" s="1"/>
      <c r="K421" s="1"/>
    </row>
    <row r="422" spans="4:11" ht="15.75" customHeight="1" x14ac:dyDescent="0.25">
      <c r="D422" s="1"/>
      <c r="E422" s="2"/>
      <c r="F422" s="1"/>
      <c r="G422" s="1"/>
      <c r="H422" s="1"/>
      <c r="I422" s="1"/>
      <c r="J422" s="1"/>
      <c r="K422" s="1"/>
    </row>
    <row r="423" spans="4:11" ht="15.75" customHeight="1" x14ac:dyDescent="0.25">
      <c r="D423" s="1"/>
      <c r="E423" s="2"/>
      <c r="F423" s="1"/>
      <c r="G423" s="1"/>
      <c r="H423" s="1"/>
      <c r="I423" s="1"/>
      <c r="J423" s="1"/>
      <c r="K423" s="1"/>
    </row>
    <row r="424" spans="4:11" ht="15.75" customHeight="1" x14ac:dyDescent="0.25">
      <c r="D424" s="1"/>
      <c r="E424" s="2"/>
      <c r="F424" s="1"/>
      <c r="G424" s="1"/>
      <c r="H424" s="1"/>
      <c r="I424" s="1"/>
      <c r="J424" s="1"/>
      <c r="K424" s="1"/>
    </row>
    <row r="425" spans="4:11" ht="15.75" customHeight="1" x14ac:dyDescent="0.25">
      <c r="D425" s="1"/>
      <c r="E425" s="2"/>
      <c r="F425" s="1"/>
      <c r="G425" s="1"/>
      <c r="H425" s="1"/>
      <c r="I425" s="1"/>
      <c r="J425" s="1"/>
      <c r="K425" s="1"/>
    </row>
    <row r="426" spans="4:11" ht="15.75" customHeight="1" x14ac:dyDescent="0.25">
      <c r="D426" s="1"/>
      <c r="E426" s="2"/>
      <c r="F426" s="1"/>
      <c r="G426" s="1"/>
      <c r="H426" s="1"/>
      <c r="I426" s="1"/>
      <c r="J426" s="1"/>
      <c r="K426" s="1"/>
    </row>
    <row r="427" spans="4:11" ht="15.75" customHeight="1" x14ac:dyDescent="0.25">
      <c r="D427" s="1"/>
      <c r="E427" s="2"/>
      <c r="F427" s="1"/>
      <c r="G427" s="1"/>
      <c r="H427" s="1"/>
      <c r="I427" s="1"/>
      <c r="J427" s="1"/>
      <c r="K427" s="1"/>
    </row>
    <row r="428" spans="4:11" ht="15.75" customHeight="1" x14ac:dyDescent="0.25">
      <c r="D428" s="1"/>
      <c r="E428" s="2"/>
      <c r="F428" s="1"/>
      <c r="G428" s="1"/>
      <c r="H428" s="1"/>
      <c r="I428" s="1"/>
      <c r="J428" s="1"/>
      <c r="K428" s="1"/>
    </row>
    <row r="429" spans="4:11" ht="15.75" customHeight="1" x14ac:dyDescent="0.25">
      <c r="D429" s="1"/>
      <c r="E429" s="2"/>
      <c r="F429" s="1"/>
      <c r="G429" s="1"/>
      <c r="H429" s="1"/>
      <c r="I429" s="1"/>
      <c r="J429" s="1"/>
      <c r="K429" s="1"/>
    </row>
    <row r="430" spans="4:11" ht="15.75" customHeight="1" x14ac:dyDescent="0.25">
      <c r="D430" s="1"/>
      <c r="E430" s="2"/>
      <c r="F430" s="1"/>
      <c r="G430" s="1"/>
      <c r="H430" s="1"/>
      <c r="I430" s="1"/>
      <c r="J430" s="1"/>
      <c r="K430" s="1"/>
    </row>
    <row r="431" spans="4:11" ht="15.75" customHeight="1" x14ac:dyDescent="0.25">
      <c r="D431" s="1"/>
      <c r="E431" s="2"/>
      <c r="F431" s="1"/>
      <c r="G431" s="1"/>
      <c r="H431" s="1"/>
      <c r="I431" s="1"/>
      <c r="J431" s="1"/>
      <c r="K431" s="1"/>
    </row>
    <row r="432" spans="4:11" ht="15.75" customHeight="1" x14ac:dyDescent="0.25">
      <c r="D432" s="1"/>
      <c r="E432" s="2"/>
      <c r="F432" s="1"/>
      <c r="G432" s="1"/>
      <c r="H432" s="1"/>
      <c r="I432" s="1"/>
      <c r="J432" s="1"/>
      <c r="K432" s="1"/>
    </row>
    <row r="433" spans="4:11" ht="15.75" customHeight="1" x14ac:dyDescent="0.25">
      <c r="D433" s="1"/>
      <c r="E433" s="2"/>
      <c r="F433" s="1"/>
      <c r="G433" s="1"/>
      <c r="H433" s="1"/>
      <c r="I433" s="1"/>
      <c r="J433" s="1"/>
      <c r="K433" s="1"/>
    </row>
    <row r="434" spans="4:11" ht="15.75" customHeight="1" x14ac:dyDescent="0.25">
      <c r="D434" s="1"/>
      <c r="E434" s="2"/>
      <c r="F434" s="1"/>
      <c r="G434" s="1"/>
      <c r="H434" s="1"/>
      <c r="I434" s="1"/>
      <c r="J434" s="1"/>
      <c r="K434" s="1"/>
    </row>
    <row r="435" spans="4:11" ht="15.75" customHeight="1" x14ac:dyDescent="0.25">
      <c r="D435" s="1"/>
      <c r="E435" s="2"/>
      <c r="F435" s="1"/>
      <c r="G435" s="1"/>
      <c r="H435" s="1"/>
      <c r="I435" s="1"/>
      <c r="J435" s="1"/>
      <c r="K435" s="1"/>
    </row>
    <row r="436" spans="4:11" ht="15.75" customHeight="1" x14ac:dyDescent="0.25">
      <c r="D436" s="1"/>
      <c r="E436" s="2"/>
      <c r="F436" s="1"/>
      <c r="G436" s="1"/>
      <c r="H436" s="1"/>
      <c r="I436" s="1"/>
      <c r="J436" s="1"/>
      <c r="K436" s="1"/>
    </row>
    <row r="437" spans="4:11" ht="15.75" customHeight="1" x14ac:dyDescent="0.25">
      <c r="D437" s="1"/>
      <c r="E437" s="2"/>
      <c r="F437" s="1"/>
      <c r="G437" s="1"/>
      <c r="H437" s="1"/>
      <c r="I437" s="1"/>
      <c r="J437" s="1"/>
      <c r="K437" s="1"/>
    </row>
    <row r="438" spans="4:11" ht="15.75" customHeight="1" x14ac:dyDescent="0.25">
      <c r="D438" s="1"/>
      <c r="E438" s="2"/>
      <c r="F438" s="1"/>
      <c r="G438" s="1"/>
      <c r="H438" s="1"/>
      <c r="I438" s="1"/>
      <c r="J438" s="1"/>
      <c r="K438" s="1"/>
    </row>
    <row r="439" spans="4:11" ht="15.75" customHeight="1" x14ac:dyDescent="0.25">
      <c r="D439" s="1"/>
      <c r="E439" s="2"/>
      <c r="F439" s="1"/>
      <c r="G439" s="1"/>
      <c r="H439" s="1"/>
      <c r="I439" s="1"/>
      <c r="J439" s="1"/>
      <c r="K439" s="1"/>
    </row>
    <row r="440" spans="4:11" ht="15.75" customHeight="1" x14ac:dyDescent="0.25">
      <c r="D440" s="1"/>
      <c r="E440" s="2"/>
      <c r="F440" s="1"/>
      <c r="G440" s="1"/>
      <c r="H440" s="1"/>
      <c r="I440" s="1"/>
      <c r="J440" s="1"/>
      <c r="K440" s="1"/>
    </row>
    <row r="441" spans="4:11" ht="15.75" customHeight="1" x14ac:dyDescent="0.25">
      <c r="D441" s="1"/>
      <c r="E441" s="2"/>
      <c r="F441" s="1"/>
      <c r="G441" s="1"/>
      <c r="H441" s="1"/>
      <c r="I441" s="1"/>
      <c r="J441" s="1"/>
      <c r="K441" s="1"/>
    </row>
    <row r="442" spans="4:11" ht="15.75" customHeight="1" x14ac:dyDescent="0.25">
      <c r="D442" s="1"/>
      <c r="E442" s="2"/>
      <c r="F442" s="1"/>
      <c r="G442" s="1"/>
      <c r="H442" s="1"/>
      <c r="I442" s="1"/>
      <c r="J442" s="1"/>
      <c r="K442" s="1"/>
    </row>
    <row r="443" spans="4:11" ht="15.75" customHeight="1" x14ac:dyDescent="0.25">
      <c r="D443" s="1"/>
      <c r="E443" s="2"/>
      <c r="F443" s="1"/>
      <c r="G443" s="1"/>
      <c r="H443" s="1"/>
      <c r="I443" s="1"/>
      <c r="J443" s="1"/>
      <c r="K443" s="1"/>
    </row>
    <row r="444" spans="4:11" ht="15.75" customHeight="1" x14ac:dyDescent="0.25">
      <c r="D444" s="1"/>
      <c r="E444" s="2"/>
      <c r="F444" s="1"/>
      <c r="G444" s="1"/>
      <c r="H444" s="1"/>
      <c r="I444" s="1"/>
      <c r="J444" s="1"/>
      <c r="K444" s="1"/>
    </row>
    <row r="445" spans="4:11" ht="15.75" customHeight="1" x14ac:dyDescent="0.25">
      <c r="D445" s="1"/>
      <c r="E445" s="2"/>
      <c r="F445" s="1"/>
      <c r="G445" s="1"/>
      <c r="H445" s="1"/>
      <c r="I445" s="1"/>
      <c r="J445" s="1"/>
      <c r="K445" s="1"/>
    </row>
    <row r="446" spans="4:11" ht="15.75" customHeight="1" x14ac:dyDescent="0.25">
      <c r="D446" s="1"/>
      <c r="E446" s="2"/>
      <c r="F446" s="1"/>
      <c r="G446" s="1"/>
      <c r="H446" s="1"/>
      <c r="I446" s="1"/>
      <c r="J446" s="1"/>
      <c r="K446" s="1"/>
    </row>
    <row r="447" spans="4:11" ht="15.75" customHeight="1" x14ac:dyDescent="0.25">
      <c r="D447" s="1"/>
      <c r="E447" s="2"/>
      <c r="F447" s="1"/>
      <c r="G447" s="1"/>
      <c r="H447" s="1"/>
      <c r="I447" s="1"/>
      <c r="J447" s="1"/>
      <c r="K447" s="1"/>
    </row>
    <row r="448" spans="4:11" ht="15.75" customHeight="1" x14ac:dyDescent="0.25">
      <c r="D448" s="1"/>
      <c r="E448" s="2"/>
      <c r="F448" s="1"/>
      <c r="G448" s="1"/>
      <c r="H448" s="1"/>
      <c r="I448" s="1"/>
      <c r="J448" s="1"/>
      <c r="K448" s="1"/>
    </row>
    <row r="449" spans="4:11" ht="15.75" customHeight="1" x14ac:dyDescent="0.25">
      <c r="D449" s="1"/>
      <c r="E449" s="2"/>
      <c r="F449" s="1"/>
      <c r="G449" s="1"/>
      <c r="H449" s="1"/>
      <c r="I449" s="1"/>
      <c r="J449" s="1"/>
      <c r="K449" s="1"/>
    </row>
    <row r="450" spans="4:11" ht="15.75" customHeight="1" x14ac:dyDescent="0.25">
      <c r="D450" s="1"/>
      <c r="E450" s="2"/>
      <c r="F450" s="1"/>
      <c r="G450" s="1"/>
      <c r="H450" s="1"/>
      <c r="I450" s="1"/>
      <c r="J450" s="1"/>
      <c r="K450" s="1"/>
    </row>
    <row r="451" spans="4:11" ht="15.75" customHeight="1" x14ac:dyDescent="0.25">
      <c r="D451" s="1"/>
      <c r="E451" s="2"/>
      <c r="F451" s="1"/>
      <c r="G451" s="1"/>
      <c r="H451" s="1"/>
      <c r="I451" s="1"/>
      <c r="J451" s="1"/>
      <c r="K451" s="1"/>
    </row>
    <row r="452" spans="4:11" ht="15.75" customHeight="1" x14ac:dyDescent="0.25">
      <c r="D452" s="1"/>
      <c r="E452" s="2"/>
      <c r="F452" s="1"/>
      <c r="G452" s="1"/>
      <c r="H452" s="1"/>
      <c r="I452" s="1"/>
      <c r="J452" s="1"/>
      <c r="K452" s="1"/>
    </row>
    <row r="453" spans="4:11" ht="15.75" customHeight="1" x14ac:dyDescent="0.25">
      <c r="D453" s="1"/>
      <c r="E453" s="2"/>
      <c r="F453" s="1"/>
      <c r="G453" s="1"/>
      <c r="H453" s="1"/>
      <c r="I453" s="1"/>
      <c r="J453" s="1"/>
      <c r="K453" s="1"/>
    </row>
    <row r="454" spans="4:11" ht="15.75" customHeight="1" x14ac:dyDescent="0.25">
      <c r="D454" s="1"/>
      <c r="E454" s="2"/>
      <c r="F454" s="1"/>
      <c r="G454" s="1"/>
      <c r="H454" s="1"/>
      <c r="I454" s="1"/>
      <c r="J454" s="1"/>
      <c r="K454" s="1"/>
    </row>
    <row r="455" spans="4:11" ht="15.75" customHeight="1" x14ac:dyDescent="0.25">
      <c r="D455" s="1"/>
      <c r="E455" s="2"/>
      <c r="F455" s="1"/>
      <c r="G455" s="1"/>
      <c r="H455" s="1"/>
      <c r="I455" s="1"/>
      <c r="J455" s="1"/>
      <c r="K455" s="1"/>
    </row>
    <row r="456" spans="4:11" ht="15.75" customHeight="1" x14ac:dyDescent="0.25">
      <c r="D456" s="1"/>
      <c r="E456" s="2"/>
      <c r="F456" s="1"/>
      <c r="G456" s="1"/>
      <c r="H456" s="1"/>
      <c r="I456" s="1"/>
      <c r="J456" s="1"/>
      <c r="K456" s="1"/>
    </row>
    <row r="457" spans="4:11" ht="15.75" customHeight="1" x14ac:dyDescent="0.25">
      <c r="D457" s="1"/>
      <c r="E457" s="2"/>
      <c r="F457" s="1"/>
      <c r="G457" s="1"/>
      <c r="H457" s="1"/>
      <c r="I457" s="1"/>
      <c r="J457" s="1"/>
      <c r="K457" s="1"/>
    </row>
    <row r="458" spans="4:11" ht="15.75" customHeight="1" x14ac:dyDescent="0.25">
      <c r="D458" s="1"/>
      <c r="E458" s="2"/>
      <c r="F458" s="1"/>
      <c r="G458" s="1"/>
      <c r="H458" s="1"/>
      <c r="I458" s="1"/>
      <c r="J458" s="1"/>
      <c r="K458" s="1"/>
    </row>
    <row r="459" spans="4:11" ht="15.75" customHeight="1" x14ac:dyDescent="0.25">
      <c r="D459" s="1"/>
      <c r="E459" s="2"/>
      <c r="F459" s="1"/>
      <c r="G459" s="1"/>
      <c r="H459" s="1"/>
      <c r="I459" s="1"/>
      <c r="J459" s="1"/>
      <c r="K459" s="1"/>
    </row>
    <row r="460" spans="4:11" ht="15.75" customHeight="1" x14ac:dyDescent="0.25">
      <c r="D460" s="1"/>
      <c r="E460" s="2"/>
      <c r="F460" s="1"/>
      <c r="G460" s="1"/>
      <c r="H460" s="1"/>
      <c r="I460" s="1"/>
      <c r="J460" s="1"/>
      <c r="K460" s="1"/>
    </row>
    <row r="461" spans="4:11" ht="15.75" customHeight="1" x14ac:dyDescent="0.25">
      <c r="D461" s="1"/>
      <c r="E461" s="2"/>
      <c r="F461" s="1"/>
      <c r="G461" s="1"/>
      <c r="H461" s="1"/>
      <c r="I461" s="1"/>
      <c r="J461" s="1"/>
      <c r="K461" s="1"/>
    </row>
    <row r="462" spans="4:11" ht="15.75" customHeight="1" x14ac:dyDescent="0.25">
      <c r="D462" s="1"/>
      <c r="E462" s="2"/>
      <c r="F462" s="1"/>
      <c r="G462" s="1"/>
      <c r="H462" s="1"/>
      <c r="I462" s="1"/>
      <c r="J462" s="1"/>
      <c r="K462" s="1"/>
    </row>
    <row r="463" spans="4:11" ht="15.75" customHeight="1" x14ac:dyDescent="0.25">
      <c r="D463" s="1"/>
      <c r="E463" s="2"/>
      <c r="F463" s="1"/>
      <c r="G463" s="1"/>
      <c r="H463" s="1"/>
      <c r="I463" s="1"/>
      <c r="J463" s="1"/>
      <c r="K463" s="1"/>
    </row>
    <row r="464" spans="4:11" ht="15.75" customHeight="1" x14ac:dyDescent="0.25">
      <c r="D464" s="1"/>
      <c r="E464" s="2"/>
      <c r="F464" s="1"/>
      <c r="G464" s="1"/>
      <c r="H464" s="1"/>
      <c r="I464" s="1"/>
      <c r="J464" s="1"/>
      <c r="K464" s="1"/>
    </row>
    <row r="465" spans="4:11" ht="15.75" customHeight="1" x14ac:dyDescent="0.25">
      <c r="D465" s="1"/>
      <c r="E465" s="2"/>
      <c r="F465" s="1"/>
      <c r="G465" s="1"/>
      <c r="H465" s="1"/>
      <c r="I465" s="1"/>
      <c r="J465" s="1"/>
      <c r="K465" s="1"/>
    </row>
    <row r="466" spans="4:11" ht="15.75" customHeight="1" x14ac:dyDescent="0.25">
      <c r="D466" s="1"/>
      <c r="E466" s="2"/>
      <c r="F466" s="1"/>
      <c r="G466" s="1"/>
      <c r="H466" s="1"/>
      <c r="I466" s="1"/>
      <c r="J466" s="1"/>
      <c r="K466" s="1"/>
    </row>
    <row r="467" spans="4:11" ht="15.75" customHeight="1" x14ac:dyDescent="0.25">
      <c r="D467" s="1"/>
      <c r="E467" s="2"/>
      <c r="F467" s="1"/>
      <c r="G467" s="1"/>
      <c r="H467" s="1"/>
      <c r="I467" s="1"/>
      <c r="J467" s="1"/>
      <c r="K467" s="1"/>
    </row>
    <row r="468" spans="4:11" ht="15.75" customHeight="1" x14ac:dyDescent="0.25">
      <c r="D468" s="1"/>
      <c r="E468" s="2"/>
      <c r="F468" s="1"/>
      <c r="G468" s="1"/>
      <c r="H468" s="1"/>
      <c r="I468" s="1"/>
      <c r="J468" s="1"/>
      <c r="K468" s="1"/>
    </row>
    <row r="469" spans="4:11" ht="15.75" customHeight="1" x14ac:dyDescent="0.25">
      <c r="D469" s="1"/>
      <c r="E469" s="2"/>
      <c r="F469" s="1"/>
      <c r="G469" s="1"/>
      <c r="H469" s="1"/>
      <c r="I469" s="1"/>
      <c r="J469" s="1"/>
      <c r="K469" s="1"/>
    </row>
    <row r="470" spans="4:11" ht="15.75" customHeight="1" x14ac:dyDescent="0.25">
      <c r="D470" s="1"/>
      <c r="E470" s="2"/>
      <c r="F470" s="1"/>
      <c r="G470" s="1"/>
      <c r="H470" s="1"/>
      <c r="I470" s="1"/>
      <c r="J470" s="1"/>
      <c r="K470" s="1"/>
    </row>
    <row r="471" spans="4:11" ht="15.75" customHeight="1" x14ac:dyDescent="0.25">
      <c r="D471" s="1"/>
      <c r="E471" s="2"/>
      <c r="F471" s="1"/>
      <c r="G471" s="1"/>
      <c r="H471" s="1"/>
      <c r="I471" s="1"/>
      <c r="J471" s="1"/>
      <c r="K471" s="1"/>
    </row>
    <row r="472" spans="4:11" ht="15.75" customHeight="1" x14ac:dyDescent="0.25">
      <c r="D472" s="1"/>
      <c r="E472" s="2"/>
      <c r="F472" s="1"/>
      <c r="G472" s="1"/>
      <c r="H472" s="1"/>
      <c r="I472" s="1"/>
      <c r="J472" s="1"/>
      <c r="K472" s="1"/>
    </row>
    <row r="473" spans="4:11" ht="15.75" customHeight="1" x14ac:dyDescent="0.25">
      <c r="D473" s="1"/>
      <c r="E473" s="2"/>
      <c r="F473" s="1"/>
      <c r="G473" s="1"/>
      <c r="H473" s="1"/>
      <c r="I473" s="1"/>
      <c r="J473" s="1"/>
      <c r="K473" s="1"/>
    </row>
    <row r="474" spans="4:11" ht="15.75" customHeight="1" x14ac:dyDescent="0.25">
      <c r="D474" s="1"/>
      <c r="E474" s="2"/>
      <c r="F474" s="1"/>
      <c r="G474" s="1"/>
      <c r="H474" s="1"/>
      <c r="I474" s="1"/>
      <c r="J474" s="1"/>
      <c r="K474" s="1"/>
    </row>
    <row r="475" spans="4:11" ht="15.75" customHeight="1" x14ac:dyDescent="0.25">
      <c r="D475" s="1"/>
      <c r="E475" s="2"/>
      <c r="F475" s="1"/>
      <c r="G475" s="1"/>
      <c r="H475" s="1"/>
      <c r="I475" s="1"/>
      <c r="J475" s="1"/>
      <c r="K475" s="1"/>
    </row>
    <row r="476" spans="4:11" ht="15.75" customHeight="1" x14ac:dyDescent="0.25">
      <c r="D476" s="1"/>
      <c r="E476" s="2"/>
      <c r="F476" s="1"/>
      <c r="G476" s="1"/>
      <c r="H476" s="1"/>
      <c r="I476" s="1"/>
      <c r="J476" s="1"/>
      <c r="K476" s="1"/>
    </row>
    <row r="477" spans="4:11" ht="15.75" customHeight="1" x14ac:dyDescent="0.25">
      <c r="D477" s="1"/>
      <c r="E477" s="2"/>
      <c r="F477" s="1"/>
      <c r="G477" s="1"/>
      <c r="H477" s="1"/>
      <c r="I477" s="1"/>
      <c r="J477" s="1"/>
      <c r="K477" s="1"/>
    </row>
    <row r="478" spans="4:11" ht="15.75" customHeight="1" x14ac:dyDescent="0.25">
      <c r="D478" s="1"/>
      <c r="E478" s="2"/>
      <c r="F478" s="1"/>
      <c r="G478" s="1"/>
      <c r="H478" s="1"/>
      <c r="I478" s="1"/>
      <c r="J478" s="1"/>
      <c r="K478" s="1"/>
    </row>
    <row r="479" spans="4:11" ht="15.75" customHeight="1" x14ac:dyDescent="0.25">
      <c r="D479" s="1"/>
      <c r="E479" s="2"/>
      <c r="F479" s="1"/>
      <c r="G479" s="1"/>
      <c r="H479" s="1"/>
      <c r="I479" s="1"/>
      <c r="J479" s="1"/>
      <c r="K479" s="1"/>
    </row>
    <row r="480" spans="4:11" ht="15.75" customHeight="1" x14ac:dyDescent="0.25">
      <c r="D480" s="1"/>
      <c r="E480" s="2"/>
      <c r="F480" s="1"/>
      <c r="G480" s="1"/>
      <c r="H480" s="1"/>
      <c r="I480" s="1"/>
      <c r="J480" s="1"/>
      <c r="K480" s="1"/>
    </row>
    <row r="481" spans="4:11" ht="15.75" customHeight="1" x14ac:dyDescent="0.25">
      <c r="D481" s="1"/>
      <c r="E481" s="2"/>
      <c r="F481" s="1"/>
      <c r="G481" s="1"/>
      <c r="H481" s="1"/>
      <c r="I481" s="1"/>
      <c r="J481" s="1"/>
      <c r="K481" s="1"/>
    </row>
    <row r="482" spans="4:11" ht="15.75" customHeight="1" x14ac:dyDescent="0.25">
      <c r="D482" s="1"/>
      <c r="E482" s="2"/>
      <c r="F482" s="1"/>
      <c r="G482" s="1"/>
      <c r="H482" s="1"/>
      <c r="I482" s="1"/>
      <c r="J482" s="1"/>
      <c r="K482" s="1"/>
    </row>
    <row r="483" spans="4:11" ht="15.75" customHeight="1" x14ac:dyDescent="0.25">
      <c r="D483" s="1"/>
      <c r="E483" s="2"/>
      <c r="F483" s="1"/>
      <c r="G483" s="1"/>
      <c r="H483" s="1"/>
      <c r="I483" s="1"/>
      <c r="J483" s="1"/>
      <c r="K483" s="1"/>
    </row>
    <row r="484" spans="4:11" ht="15.75" customHeight="1" x14ac:dyDescent="0.25">
      <c r="D484" s="1"/>
      <c r="E484" s="2"/>
      <c r="F484" s="1"/>
      <c r="G484" s="1"/>
      <c r="H484" s="1"/>
      <c r="I484" s="1"/>
      <c r="J484" s="1"/>
      <c r="K484" s="1"/>
    </row>
    <row r="485" spans="4:11" ht="15.75" customHeight="1" x14ac:dyDescent="0.25">
      <c r="D485" s="1"/>
      <c r="E485" s="2"/>
      <c r="F485" s="1"/>
      <c r="G485" s="1"/>
      <c r="H485" s="1"/>
      <c r="I485" s="1"/>
      <c r="J485" s="1"/>
      <c r="K485" s="1"/>
    </row>
    <row r="486" spans="4:11" ht="15.75" customHeight="1" x14ac:dyDescent="0.25">
      <c r="D486" s="1"/>
      <c r="E486" s="2"/>
      <c r="F486" s="1"/>
      <c r="G486" s="1"/>
      <c r="H486" s="1"/>
      <c r="I486" s="1"/>
      <c r="J486" s="1"/>
      <c r="K486" s="1"/>
    </row>
    <row r="487" spans="4:11" ht="15.75" customHeight="1" x14ac:dyDescent="0.25">
      <c r="D487" s="1"/>
      <c r="E487" s="2"/>
      <c r="F487" s="1"/>
      <c r="G487" s="1"/>
      <c r="H487" s="1"/>
      <c r="I487" s="1"/>
      <c r="J487" s="1"/>
      <c r="K487" s="1"/>
    </row>
    <row r="488" spans="4:11" ht="15.75" customHeight="1" x14ac:dyDescent="0.25">
      <c r="D488" s="1"/>
      <c r="E488" s="2"/>
      <c r="F488" s="1"/>
      <c r="G488" s="1"/>
      <c r="H488" s="1"/>
      <c r="I488" s="1"/>
      <c r="J488" s="1"/>
      <c r="K488" s="1"/>
    </row>
    <row r="489" spans="4:11" ht="15.75" customHeight="1" x14ac:dyDescent="0.25">
      <c r="D489" s="1"/>
      <c r="E489" s="2"/>
      <c r="F489" s="1"/>
      <c r="G489" s="1"/>
      <c r="H489" s="1"/>
      <c r="I489" s="1"/>
      <c r="J489" s="1"/>
      <c r="K489" s="1"/>
    </row>
    <row r="490" spans="4:11" ht="15.75" customHeight="1" x14ac:dyDescent="0.25">
      <c r="D490" s="1"/>
      <c r="E490" s="2"/>
      <c r="F490" s="1"/>
      <c r="G490" s="1"/>
      <c r="H490" s="1"/>
      <c r="I490" s="1"/>
      <c r="J490" s="1"/>
      <c r="K490" s="1"/>
    </row>
    <row r="491" spans="4:11" ht="15.75" customHeight="1" x14ac:dyDescent="0.25">
      <c r="D491" s="1"/>
      <c r="E491" s="2"/>
      <c r="F491" s="1"/>
      <c r="G491" s="1"/>
      <c r="H491" s="1"/>
      <c r="I491" s="1"/>
      <c r="J491" s="1"/>
      <c r="K491" s="1"/>
    </row>
    <row r="492" spans="4:11" ht="15.75" customHeight="1" x14ac:dyDescent="0.25">
      <c r="D492" s="1"/>
      <c r="E492" s="2"/>
      <c r="F492" s="1"/>
      <c r="G492" s="1"/>
      <c r="H492" s="1"/>
      <c r="I492" s="1"/>
      <c r="J492" s="1"/>
      <c r="K492" s="1"/>
    </row>
    <row r="493" spans="4:11" ht="15.75" customHeight="1" x14ac:dyDescent="0.25">
      <c r="D493" s="1"/>
      <c r="E493" s="2"/>
      <c r="F493" s="1"/>
      <c r="G493" s="1"/>
      <c r="H493" s="1"/>
      <c r="I493" s="1"/>
      <c r="J493" s="1"/>
      <c r="K493" s="1"/>
    </row>
    <row r="494" spans="4:11" ht="15.75" customHeight="1" x14ac:dyDescent="0.25">
      <c r="D494" s="1"/>
      <c r="E494" s="2"/>
      <c r="F494" s="1"/>
      <c r="G494" s="1"/>
      <c r="H494" s="1"/>
      <c r="I494" s="1"/>
      <c r="J494" s="1"/>
      <c r="K494" s="1"/>
    </row>
    <row r="495" spans="4:11" ht="15.75" customHeight="1" x14ac:dyDescent="0.25">
      <c r="D495" s="1"/>
      <c r="E495" s="2"/>
      <c r="F495" s="1"/>
      <c r="G495" s="1"/>
      <c r="H495" s="1"/>
      <c r="I495" s="1"/>
      <c r="J495" s="1"/>
      <c r="K495" s="1"/>
    </row>
    <row r="496" spans="4:11" ht="15.75" customHeight="1" x14ac:dyDescent="0.25">
      <c r="D496" s="1"/>
      <c r="E496" s="2"/>
      <c r="F496" s="1"/>
      <c r="G496" s="1"/>
      <c r="H496" s="1"/>
      <c r="I496" s="1"/>
      <c r="J496" s="1"/>
      <c r="K496" s="1"/>
    </row>
    <row r="497" spans="4:11" ht="15.75" customHeight="1" x14ac:dyDescent="0.25">
      <c r="D497" s="1"/>
      <c r="E497" s="2"/>
      <c r="F497" s="1"/>
      <c r="G497" s="1"/>
      <c r="H497" s="1"/>
      <c r="I497" s="1"/>
      <c r="J497" s="1"/>
      <c r="K497" s="1"/>
    </row>
    <row r="498" spans="4:11" ht="15.75" customHeight="1" x14ac:dyDescent="0.25">
      <c r="D498" s="1"/>
      <c r="E498" s="2"/>
      <c r="F498" s="1"/>
      <c r="G498" s="1"/>
      <c r="H498" s="1"/>
      <c r="I498" s="1"/>
      <c r="J498" s="1"/>
      <c r="K498" s="1"/>
    </row>
    <row r="499" spans="4:11" ht="15.75" customHeight="1" x14ac:dyDescent="0.25">
      <c r="D499" s="1"/>
      <c r="E499" s="2"/>
      <c r="F499" s="1"/>
      <c r="G499" s="1"/>
      <c r="H499" s="1"/>
      <c r="I499" s="1"/>
      <c r="J499" s="1"/>
      <c r="K499" s="1"/>
    </row>
    <row r="500" spans="4:11" ht="15.75" customHeight="1" x14ac:dyDescent="0.25">
      <c r="D500" s="1"/>
      <c r="E500" s="2"/>
      <c r="F500" s="1"/>
      <c r="G500" s="1"/>
      <c r="H500" s="1"/>
      <c r="I500" s="1"/>
      <c r="J500" s="1"/>
      <c r="K500" s="1"/>
    </row>
    <row r="501" spans="4:11" ht="15.75" customHeight="1" x14ac:dyDescent="0.25">
      <c r="D501" s="1"/>
      <c r="E501" s="2"/>
      <c r="F501" s="1"/>
      <c r="G501" s="1"/>
      <c r="H501" s="1"/>
      <c r="I501" s="1"/>
      <c r="J501" s="1"/>
      <c r="K501" s="1"/>
    </row>
    <row r="502" spans="4:11" ht="15.75" customHeight="1" x14ac:dyDescent="0.25">
      <c r="D502" s="1"/>
      <c r="E502" s="2"/>
      <c r="F502" s="1"/>
      <c r="G502" s="1"/>
      <c r="H502" s="1"/>
      <c r="I502" s="1"/>
      <c r="J502" s="1"/>
      <c r="K502" s="1"/>
    </row>
    <row r="503" spans="4:11" ht="15.75" customHeight="1" x14ac:dyDescent="0.25">
      <c r="D503" s="1"/>
      <c r="E503" s="2"/>
      <c r="F503" s="1"/>
      <c r="G503" s="1"/>
      <c r="H503" s="1"/>
      <c r="I503" s="1"/>
      <c r="J503" s="1"/>
      <c r="K503" s="1"/>
    </row>
    <row r="504" spans="4:11" ht="15.75" customHeight="1" x14ac:dyDescent="0.25">
      <c r="D504" s="1"/>
      <c r="E504" s="2"/>
      <c r="F504" s="1"/>
      <c r="G504" s="1"/>
      <c r="H504" s="1"/>
      <c r="I504" s="1"/>
      <c r="J504" s="1"/>
      <c r="K504" s="1"/>
    </row>
    <row r="505" spans="4:11" ht="15.75" customHeight="1" x14ac:dyDescent="0.25">
      <c r="D505" s="1"/>
      <c r="E505" s="2"/>
      <c r="F505" s="1"/>
      <c r="G505" s="1"/>
      <c r="H505" s="1"/>
      <c r="I505" s="1"/>
      <c r="J505" s="1"/>
      <c r="K505" s="1"/>
    </row>
    <row r="506" spans="4:11" ht="15.75" customHeight="1" x14ac:dyDescent="0.25">
      <c r="D506" s="1"/>
      <c r="E506" s="2"/>
      <c r="F506" s="1"/>
      <c r="G506" s="1"/>
      <c r="H506" s="1"/>
      <c r="I506" s="1"/>
      <c r="J506" s="1"/>
      <c r="K506" s="1"/>
    </row>
    <row r="507" spans="4:11" ht="15.75" customHeight="1" x14ac:dyDescent="0.25">
      <c r="D507" s="1"/>
      <c r="E507" s="2"/>
      <c r="F507" s="1"/>
      <c r="G507" s="1"/>
      <c r="H507" s="1"/>
      <c r="I507" s="1"/>
      <c r="J507" s="1"/>
      <c r="K507" s="1"/>
    </row>
    <row r="508" spans="4:11" ht="15.75" customHeight="1" x14ac:dyDescent="0.25">
      <c r="D508" s="1"/>
      <c r="E508" s="2"/>
      <c r="F508" s="1"/>
      <c r="G508" s="1"/>
      <c r="H508" s="1"/>
      <c r="I508" s="1"/>
      <c r="J508" s="1"/>
      <c r="K508" s="1"/>
    </row>
    <row r="509" spans="4:11" ht="15.75" customHeight="1" x14ac:dyDescent="0.25">
      <c r="D509" s="1"/>
      <c r="E509" s="2"/>
      <c r="F509" s="1"/>
      <c r="G509" s="1"/>
      <c r="H509" s="1"/>
      <c r="I509" s="1"/>
      <c r="J509" s="1"/>
      <c r="K509" s="1"/>
    </row>
    <row r="510" spans="4:11" ht="15.75" customHeight="1" x14ac:dyDescent="0.25">
      <c r="D510" s="1"/>
      <c r="E510" s="2"/>
      <c r="F510" s="1"/>
      <c r="G510" s="1"/>
      <c r="H510" s="1"/>
      <c r="I510" s="1"/>
      <c r="J510" s="1"/>
      <c r="K510" s="1"/>
    </row>
    <row r="511" spans="4:11" ht="15.75" customHeight="1" x14ac:dyDescent="0.25">
      <c r="D511" s="1"/>
      <c r="E511" s="2"/>
      <c r="F511" s="1"/>
      <c r="G511" s="1"/>
      <c r="H511" s="1"/>
      <c r="I511" s="1"/>
      <c r="J511" s="1"/>
      <c r="K511" s="1"/>
    </row>
    <row r="512" spans="4:11" ht="15.75" customHeight="1" x14ac:dyDescent="0.25">
      <c r="D512" s="1"/>
      <c r="E512" s="2"/>
      <c r="F512" s="1"/>
      <c r="G512" s="1"/>
      <c r="H512" s="1"/>
      <c r="I512" s="1"/>
      <c r="J512" s="1"/>
      <c r="K512" s="1"/>
    </row>
    <row r="513" spans="4:11" ht="15.75" customHeight="1" x14ac:dyDescent="0.25">
      <c r="D513" s="1"/>
      <c r="E513" s="2"/>
      <c r="F513" s="1"/>
      <c r="G513" s="1"/>
      <c r="H513" s="1"/>
      <c r="I513" s="1"/>
      <c r="J513" s="1"/>
      <c r="K513" s="1"/>
    </row>
    <row r="514" spans="4:11" ht="15.75" customHeight="1" x14ac:dyDescent="0.25">
      <c r="D514" s="1"/>
      <c r="E514" s="2"/>
      <c r="F514" s="1"/>
      <c r="G514" s="1"/>
      <c r="H514" s="1"/>
      <c r="I514" s="1"/>
      <c r="J514" s="1"/>
      <c r="K514" s="1"/>
    </row>
    <row r="515" spans="4:11" ht="15.75" customHeight="1" x14ac:dyDescent="0.25">
      <c r="D515" s="1"/>
      <c r="E515" s="2"/>
      <c r="F515" s="1"/>
      <c r="G515" s="1"/>
      <c r="H515" s="1"/>
      <c r="I515" s="1"/>
      <c r="J515" s="1"/>
      <c r="K515" s="1"/>
    </row>
    <row r="516" spans="4:11" ht="15.75" customHeight="1" x14ac:dyDescent="0.25">
      <c r="D516" s="1"/>
      <c r="E516" s="2"/>
      <c r="F516" s="1"/>
      <c r="G516" s="1"/>
      <c r="H516" s="1"/>
      <c r="I516" s="1"/>
      <c r="J516" s="1"/>
      <c r="K516" s="1"/>
    </row>
    <row r="517" spans="4:11" ht="15.75" customHeight="1" x14ac:dyDescent="0.25">
      <c r="D517" s="1"/>
      <c r="E517" s="2"/>
      <c r="F517" s="1"/>
      <c r="G517" s="1"/>
      <c r="H517" s="1"/>
      <c r="I517" s="1"/>
      <c r="J517" s="1"/>
      <c r="K517" s="1"/>
    </row>
    <row r="518" spans="4:11" ht="15.75" customHeight="1" x14ac:dyDescent="0.25">
      <c r="D518" s="1"/>
      <c r="E518" s="2"/>
      <c r="F518" s="1"/>
      <c r="G518" s="1"/>
      <c r="H518" s="1"/>
      <c r="I518" s="1"/>
      <c r="J518" s="1"/>
      <c r="K518" s="1"/>
    </row>
    <row r="519" spans="4:11" ht="15.75" customHeight="1" x14ac:dyDescent="0.25">
      <c r="D519" s="1"/>
      <c r="E519" s="2"/>
      <c r="F519" s="1"/>
      <c r="G519" s="1"/>
      <c r="H519" s="1"/>
      <c r="I519" s="1"/>
      <c r="J519" s="1"/>
      <c r="K519" s="1"/>
    </row>
    <row r="520" spans="4:11" ht="15.75" customHeight="1" x14ac:dyDescent="0.25">
      <c r="D520" s="1"/>
      <c r="E520" s="2"/>
      <c r="F520" s="1"/>
      <c r="G520" s="1"/>
      <c r="H520" s="1"/>
      <c r="I520" s="1"/>
      <c r="J520" s="1"/>
      <c r="K520" s="1"/>
    </row>
    <row r="521" spans="4:11" ht="15.75" customHeight="1" x14ac:dyDescent="0.25">
      <c r="D521" s="1"/>
      <c r="E521" s="2"/>
      <c r="F521" s="1"/>
      <c r="G521" s="1"/>
      <c r="H521" s="1"/>
      <c r="I521" s="1"/>
      <c r="J521" s="1"/>
      <c r="K521" s="1"/>
    </row>
    <row r="522" spans="4:11" ht="15.75" customHeight="1" x14ac:dyDescent="0.25">
      <c r="D522" s="1"/>
      <c r="E522" s="2"/>
      <c r="F522" s="1"/>
      <c r="G522" s="1"/>
      <c r="H522" s="1"/>
      <c r="I522" s="1"/>
      <c r="J522" s="1"/>
      <c r="K522" s="1"/>
    </row>
    <row r="523" spans="4:11" ht="15.75" customHeight="1" x14ac:dyDescent="0.25">
      <c r="D523" s="1"/>
      <c r="E523" s="2"/>
      <c r="F523" s="1"/>
      <c r="G523" s="1"/>
      <c r="H523" s="1"/>
      <c r="I523" s="1"/>
      <c r="J523" s="1"/>
      <c r="K523" s="1"/>
    </row>
    <row r="524" spans="4:11" ht="15.75" customHeight="1" x14ac:dyDescent="0.25">
      <c r="D524" s="1"/>
      <c r="E524" s="2"/>
      <c r="F524" s="1"/>
      <c r="G524" s="1"/>
      <c r="H524" s="1"/>
      <c r="I524" s="1"/>
      <c r="J524" s="1"/>
      <c r="K524" s="1"/>
    </row>
    <row r="525" spans="4:11" ht="15.75" customHeight="1" x14ac:dyDescent="0.25">
      <c r="D525" s="1"/>
      <c r="E525" s="2"/>
      <c r="F525" s="1"/>
      <c r="G525" s="1"/>
      <c r="H525" s="1"/>
      <c r="I525" s="1"/>
      <c r="J525" s="1"/>
      <c r="K525" s="1"/>
    </row>
    <row r="526" spans="4:11" ht="15.75" customHeight="1" x14ac:dyDescent="0.25">
      <c r="D526" s="1"/>
      <c r="E526" s="2"/>
      <c r="F526" s="1"/>
      <c r="G526" s="1"/>
      <c r="H526" s="1"/>
      <c r="I526" s="1"/>
      <c r="J526" s="1"/>
      <c r="K526" s="1"/>
    </row>
    <row r="527" spans="4:11" ht="15.75" customHeight="1" x14ac:dyDescent="0.25">
      <c r="D527" s="1"/>
      <c r="E527" s="2"/>
      <c r="F527" s="1"/>
      <c r="G527" s="1"/>
      <c r="H527" s="1"/>
      <c r="I527" s="1"/>
      <c r="J527" s="1"/>
      <c r="K527" s="1"/>
    </row>
    <row r="528" spans="4:11" ht="15.75" customHeight="1" x14ac:dyDescent="0.25">
      <c r="D528" s="1"/>
      <c r="E528" s="2"/>
      <c r="F528" s="1"/>
      <c r="G528" s="1"/>
      <c r="H528" s="1"/>
      <c r="I528" s="1"/>
      <c r="J528" s="1"/>
      <c r="K528" s="1"/>
    </row>
    <row r="529" spans="4:11" ht="15.75" customHeight="1" x14ac:dyDescent="0.25">
      <c r="D529" s="1"/>
      <c r="E529" s="2"/>
      <c r="F529" s="1"/>
      <c r="G529" s="1"/>
      <c r="H529" s="1"/>
      <c r="I529" s="1"/>
      <c r="J529" s="1"/>
      <c r="K529" s="1"/>
    </row>
    <row r="530" spans="4:11" ht="15.75" customHeight="1" x14ac:dyDescent="0.25">
      <c r="D530" s="1"/>
      <c r="E530" s="2"/>
      <c r="F530" s="1"/>
      <c r="G530" s="1"/>
      <c r="H530" s="1"/>
      <c r="I530" s="1"/>
      <c r="J530" s="1"/>
      <c r="K530" s="1"/>
    </row>
    <row r="531" spans="4:11" ht="15.75" customHeight="1" x14ac:dyDescent="0.25">
      <c r="D531" s="1"/>
      <c r="E531" s="2"/>
      <c r="F531" s="1"/>
      <c r="G531" s="1"/>
      <c r="H531" s="1"/>
      <c r="I531" s="1"/>
      <c r="J531" s="1"/>
      <c r="K531" s="1"/>
    </row>
    <row r="532" spans="4:11" ht="15.75" customHeight="1" x14ac:dyDescent="0.25">
      <c r="D532" s="1"/>
      <c r="E532" s="2"/>
      <c r="F532" s="1"/>
      <c r="G532" s="1"/>
      <c r="H532" s="1"/>
      <c r="I532" s="1"/>
      <c r="J532" s="1"/>
      <c r="K532" s="1"/>
    </row>
    <row r="533" spans="4:11" ht="15.75" customHeight="1" x14ac:dyDescent="0.25">
      <c r="D533" s="1"/>
      <c r="E533" s="2"/>
      <c r="F533" s="1"/>
      <c r="G533" s="1"/>
      <c r="H533" s="1"/>
      <c r="I533" s="1"/>
      <c r="J533" s="1"/>
      <c r="K533" s="1"/>
    </row>
    <row r="534" spans="4:11" ht="15.75" customHeight="1" x14ac:dyDescent="0.25">
      <c r="D534" s="1"/>
      <c r="E534" s="2"/>
      <c r="F534" s="1"/>
      <c r="G534" s="1"/>
      <c r="H534" s="1"/>
      <c r="I534" s="1"/>
      <c r="J534" s="1"/>
      <c r="K534" s="1"/>
    </row>
    <row r="535" spans="4:11" ht="15.75" customHeight="1" x14ac:dyDescent="0.25">
      <c r="D535" s="1"/>
      <c r="E535" s="2"/>
      <c r="F535" s="1"/>
      <c r="G535" s="1"/>
      <c r="H535" s="1"/>
      <c r="I535" s="1"/>
      <c r="J535" s="1"/>
      <c r="K535" s="1"/>
    </row>
    <row r="536" spans="4:11" ht="15.75" customHeight="1" x14ac:dyDescent="0.25">
      <c r="D536" s="1"/>
      <c r="E536" s="2"/>
      <c r="F536" s="1"/>
      <c r="G536" s="1"/>
      <c r="H536" s="1"/>
      <c r="I536" s="1"/>
      <c r="J536" s="1"/>
      <c r="K536" s="1"/>
    </row>
    <row r="537" spans="4:11" ht="15.75" customHeight="1" x14ac:dyDescent="0.25">
      <c r="D537" s="1"/>
      <c r="E537" s="2"/>
      <c r="F537" s="1"/>
      <c r="G537" s="1"/>
      <c r="H537" s="1"/>
      <c r="I537" s="1"/>
      <c r="J537" s="1"/>
      <c r="K537" s="1"/>
    </row>
    <row r="538" spans="4:11" ht="15.75" customHeight="1" x14ac:dyDescent="0.25">
      <c r="D538" s="1"/>
      <c r="E538" s="2"/>
      <c r="F538" s="1"/>
      <c r="G538" s="1"/>
      <c r="H538" s="1"/>
      <c r="I538" s="1"/>
      <c r="J538" s="1"/>
      <c r="K538" s="1"/>
    </row>
    <row r="539" spans="4:11" ht="15.75" customHeight="1" x14ac:dyDescent="0.25">
      <c r="D539" s="1"/>
      <c r="E539" s="2"/>
      <c r="F539" s="1"/>
      <c r="G539" s="1"/>
      <c r="H539" s="1"/>
      <c r="I539" s="1"/>
      <c r="J539" s="1"/>
      <c r="K539" s="1"/>
    </row>
    <row r="540" spans="4:11" ht="15.75" customHeight="1" x14ac:dyDescent="0.25">
      <c r="D540" s="1"/>
      <c r="E540" s="2"/>
      <c r="F540" s="1"/>
      <c r="G540" s="1"/>
      <c r="H540" s="1"/>
      <c r="I540" s="1"/>
      <c r="J540" s="1"/>
      <c r="K540" s="1"/>
    </row>
    <row r="541" spans="4:11" ht="15.75" customHeight="1" x14ac:dyDescent="0.25">
      <c r="D541" s="1"/>
      <c r="E541" s="2"/>
      <c r="F541" s="1"/>
      <c r="G541" s="1"/>
      <c r="H541" s="1"/>
      <c r="I541" s="1"/>
      <c r="J541" s="1"/>
      <c r="K541" s="1"/>
    </row>
    <row r="542" spans="4:11" ht="15.75" customHeight="1" x14ac:dyDescent="0.25">
      <c r="D542" s="1"/>
      <c r="E542" s="2"/>
      <c r="F542" s="1"/>
      <c r="G542" s="1"/>
      <c r="H542" s="1"/>
      <c r="I542" s="1"/>
      <c r="J542" s="1"/>
      <c r="K542" s="1"/>
    </row>
    <row r="543" spans="4:11" ht="15.75" customHeight="1" x14ac:dyDescent="0.25">
      <c r="D543" s="1"/>
      <c r="E543" s="2"/>
      <c r="F543" s="1"/>
      <c r="G543" s="1"/>
      <c r="H543" s="1"/>
      <c r="I543" s="1"/>
      <c r="J543" s="1"/>
      <c r="K543" s="1"/>
    </row>
    <row r="544" spans="4:11" ht="15.75" customHeight="1" x14ac:dyDescent="0.25">
      <c r="D544" s="1"/>
      <c r="E544" s="2"/>
      <c r="F544" s="1"/>
      <c r="G544" s="1"/>
      <c r="H544" s="1"/>
      <c r="I544" s="1"/>
      <c r="J544" s="1"/>
      <c r="K544" s="1"/>
    </row>
    <row r="545" spans="4:11" ht="15.75" customHeight="1" x14ac:dyDescent="0.25">
      <c r="D545" s="1"/>
      <c r="E545" s="2"/>
      <c r="F545" s="1"/>
      <c r="G545" s="1"/>
      <c r="H545" s="1"/>
      <c r="I545" s="1"/>
      <c r="J545" s="1"/>
      <c r="K545" s="1"/>
    </row>
    <row r="546" spans="4:11" ht="15.75" customHeight="1" x14ac:dyDescent="0.25">
      <c r="D546" s="1"/>
      <c r="E546" s="2"/>
      <c r="F546" s="1"/>
      <c r="G546" s="1"/>
      <c r="H546" s="1"/>
      <c r="I546" s="1"/>
      <c r="J546" s="1"/>
      <c r="K546" s="1"/>
    </row>
    <row r="547" spans="4:11" ht="15.75" customHeight="1" x14ac:dyDescent="0.25">
      <c r="D547" s="1"/>
      <c r="E547" s="2"/>
      <c r="F547" s="1"/>
      <c r="G547" s="1"/>
      <c r="H547" s="1"/>
      <c r="I547" s="1"/>
      <c r="J547" s="1"/>
      <c r="K547" s="1"/>
    </row>
    <row r="548" spans="4:11" ht="15.75" customHeight="1" x14ac:dyDescent="0.25">
      <c r="D548" s="1"/>
      <c r="E548" s="2"/>
      <c r="F548" s="1"/>
      <c r="G548" s="1"/>
      <c r="H548" s="1"/>
      <c r="I548" s="1"/>
      <c r="J548" s="1"/>
      <c r="K548" s="1"/>
    </row>
    <row r="549" spans="4:11" ht="15.75" customHeight="1" x14ac:dyDescent="0.25">
      <c r="D549" s="1"/>
      <c r="E549" s="2"/>
      <c r="F549" s="1"/>
      <c r="G549" s="1"/>
      <c r="H549" s="1"/>
      <c r="I549" s="1"/>
      <c r="J549" s="1"/>
      <c r="K549" s="1"/>
    </row>
    <row r="550" spans="4:11" ht="15.75" customHeight="1" x14ac:dyDescent="0.25">
      <c r="D550" s="1"/>
      <c r="E550" s="2"/>
      <c r="F550" s="1"/>
      <c r="G550" s="1"/>
      <c r="H550" s="1"/>
      <c r="I550" s="1"/>
      <c r="J550" s="1"/>
      <c r="K550" s="1"/>
    </row>
    <row r="551" spans="4:11" ht="15.75" customHeight="1" x14ac:dyDescent="0.25">
      <c r="D551" s="1"/>
      <c r="E551" s="2"/>
      <c r="F551" s="1"/>
      <c r="G551" s="1"/>
      <c r="H551" s="1"/>
      <c r="I551" s="1"/>
      <c r="J551" s="1"/>
      <c r="K551" s="1"/>
    </row>
    <row r="552" spans="4:11" ht="15.75" customHeight="1" x14ac:dyDescent="0.25">
      <c r="D552" s="1"/>
      <c r="E552" s="2"/>
      <c r="F552" s="1"/>
      <c r="G552" s="1"/>
      <c r="H552" s="1"/>
      <c r="I552" s="1"/>
      <c r="J552" s="1"/>
      <c r="K552" s="1"/>
    </row>
    <row r="553" spans="4:11" ht="15.75" customHeight="1" x14ac:dyDescent="0.25">
      <c r="D553" s="1"/>
      <c r="E553" s="2"/>
      <c r="F553" s="1"/>
      <c r="G553" s="1"/>
      <c r="H553" s="1"/>
      <c r="I553" s="1"/>
      <c r="J553" s="1"/>
      <c r="K553" s="1"/>
    </row>
    <row r="554" spans="4:11" ht="15.75" customHeight="1" x14ac:dyDescent="0.25">
      <c r="D554" s="1"/>
      <c r="E554" s="2"/>
      <c r="F554" s="1"/>
      <c r="G554" s="1"/>
      <c r="H554" s="1"/>
      <c r="I554" s="1"/>
      <c r="J554" s="1"/>
      <c r="K554" s="1"/>
    </row>
    <row r="555" spans="4:11" ht="15.75" customHeight="1" x14ac:dyDescent="0.25">
      <c r="D555" s="1"/>
      <c r="E555" s="2"/>
      <c r="F555" s="1"/>
      <c r="G555" s="1"/>
      <c r="H555" s="1"/>
      <c r="I555" s="1"/>
      <c r="J555" s="1"/>
      <c r="K555" s="1"/>
    </row>
    <row r="556" spans="4:11" ht="15.75" customHeight="1" x14ac:dyDescent="0.25">
      <c r="D556" s="1"/>
      <c r="E556" s="2"/>
      <c r="F556" s="1"/>
      <c r="G556" s="1"/>
      <c r="H556" s="1"/>
      <c r="I556" s="1"/>
      <c r="J556" s="1"/>
      <c r="K556" s="1"/>
    </row>
    <row r="557" spans="4:11" ht="15.75" customHeight="1" x14ac:dyDescent="0.25">
      <c r="D557" s="1"/>
      <c r="E557" s="2"/>
      <c r="F557" s="1"/>
      <c r="G557" s="1"/>
      <c r="H557" s="1"/>
      <c r="I557" s="1"/>
      <c r="J557" s="1"/>
      <c r="K557" s="1"/>
    </row>
    <row r="558" spans="4:11" ht="15.75" customHeight="1" x14ac:dyDescent="0.25">
      <c r="D558" s="1"/>
      <c r="E558" s="2"/>
      <c r="F558" s="1"/>
      <c r="G558" s="1"/>
      <c r="H558" s="1"/>
      <c r="I558" s="1"/>
      <c r="J558" s="1"/>
      <c r="K558" s="1"/>
    </row>
    <row r="559" spans="4:11" ht="15.75" customHeight="1" x14ac:dyDescent="0.25">
      <c r="D559" s="1"/>
      <c r="E559" s="2"/>
      <c r="F559" s="1"/>
      <c r="G559" s="1"/>
      <c r="H559" s="1"/>
      <c r="I559" s="1"/>
      <c r="J559" s="1"/>
      <c r="K559" s="1"/>
    </row>
    <row r="560" spans="4:11" ht="15.75" customHeight="1" x14ac:dyDescent="0.25">
      <c r="D560" s="1"/>
      <c r="E560" s="2"/>
      <c r="F560" s="1"/>
      <c r="G560" s="1"/>
      <c r="H560" s="1"/>
      <c r="I560" s="1"/>
      <c r="J560" s="1"/>
      <c r="K560" s="1"/>
    </row>
    <row r="561" spans="4:11" ht="15.75" customHeight="1" x14ac:dyDescent="0.25">
      <c r="D561" s="1"/>
      <c r="E561" s="2"/>
      <c r="F561" s="1"/>
      <c r="G561" s="1"/>
      <c r="H561" s="1"/>
      <c r="I561" s="1"/>
      <c r="J561" s="1"/>
      <c r="K561" s="1"/>
    </row>
    <row r="562" spans="4:11" ht="15.75" customHeight="1" x14ac:dyDescent="0.25">
      <c r="D562" s="1"/>
      <c r="E562" s="2"/>
      <c r="F562" s="1"/>
      <c r="G562" s="1"/>
      <c r="H562" s="1"/>
      <c r="I562" s="1"/>
      <c r="J562" s="1"/>
      <c r="K562" s="1"/>
    </row>
    <row r="563" spans="4:11" ht="15.75" customHeight="1" x14ac:dyDescent="0.25">
      <c r="D563" s="1"/>
      <c r="E563" s="2"/>
      <c r="F563" s="1"/>
      <c r="G563" s="1"/>
      <c r="H563" s="1"/>
      <c r="I563" s="1"/>
      <c r="J563" s="1"/>
      <c r="K563" s="1"/>
    </row>
    <row r="564" spans="4:11" ht="15.75" customHeight="1" x14ac:dyDescent="0.25">
      <c r="D564" s="1"/>
      <c r="E564" s="2"/>
      <c r="F564" s="1"/>
      <c r="G564" s="1"/>
      <c r="H564" s="1"/>
      <c r="I564" s="1"/>
      <c r="J564" s="1"/>
      <c r="K564" s="1"/>
    </row>
    <row r="565" spans="4:11" ht="15.75" customHeight="1" x14ac:dyDescent="0.25">
      <c r="D565" s="1"/>
      <c r="E565" s="2"/>
      <c r="F565" s="1"/>
      <c r="G565" s="1"/>
      <c r="H565" s="1"/>
      <c r="I565" s="1"/>
      <c r="J565" s="1"/>
      <c r="K565" s="1"/>
    </row>
    <row r="566" spans="4:11" ht="15.75" customHeight="1" x14ac:dyDescent="0.25">
      <c r="D566" s="1"/>
      <c r="E566" s="2"/>
      <c r="F566" s="1"/>
      <c r="G566" s="1"/>
      <c r="H566" s="1"/>
      <c r="I566" s="1"/>
      <c r="J566" s="1"/>
      <c r="K566" s="1"/>
    </row>
    <row r="567" spans="4:11" ht="15.75" customHeight="1" x14ac:dyDescent="0.25">
      <c r="D567" s="1"/>
      <c r="E567" s="2"/>
      <c r="F567" s="1"/>
      <c r="G567" s="1"/>
      <c r="H567" s="1"/>
      <c r="I567" s="1"/>
      <c r="J567" s="1"/>
      <c r="K567" s="1"/>
    </row>
    <row r="568" spans="4:11" ht="15.75" customHeight="1" x14ac:dyDescent="0.25">
      <c r="D568" s="1"/>
      <c r="E568" s="2"/>
      <c r="F568" s="1"/>
      <c r="G568" s="1"/>
      <c r="H568" s="1"/>
      <c r="I568" s="1"/>
      <c r="J568" s="1"/>
      <c r="K568" s="1"/>
    </row>
    <row r="569" spans="4:11" ht="15.75" customHeight="1" x14ac:dyDescent="0.25">
      <c r="D569" s="1"/>
      <c r="E569" s="2"/>
      <c r="F569" s="1"/>
      <c r="G569" s="1"/>
      <c r="H569" s="1"/>
      <c r="I569" s="1"/>
      <c r="J569" s="1"/>
      <c r="K569" s="1"/>
    </row>
    <row r="570" spans="4:11" ht="15.75" customHeight="1" x14ac:dyDescent="0.25">
      <c r="D570" s="1"/>
      <c r="E570" s="2"/>
      <c r="F570" s="1"/>
      <c r="G570" s="1"/>
      <c r="H570" s="1"/>
      <c r="I570" s="1"/>
      <c r="J570" s="1"/>
      <c r="K570" s="1"/>
    </row>
    <row r="571" spans="4:11" ht="15.75" customHeight="1" x14ac:dyDescent="0.25">
      <c r="D571" s="1"/>
      <c r="E571" s="2"/>
      <c r="F571" s="1"/>
      <c r="G571" s="1"/>
      <c r="H571" s="1"/>
      <c r="I571" s="1"/>
      <c r="J571" s="1"/>
      <c r="K571" s="1"/>
    </row>
    <row r="572" spans="4:11" ht="15.75" customHeight="1" x14ac:dyDescent="0.25">
      <c r="D572" s="1"/>
      <c r="E572" s="2"/>
      <c r="F572" s="1"/>
      <c r="G572" s="1"/>
      <c r="H572" s="1"/>
      <c r="I572" s="1"/>
      <c r="J572" s="1"/>
      <c r="K572" s="1"/>
    </row>
    <row r="573" spans="4:11" ht="15.75" customHeight="1" x14ac:dyDescent="0.25">
      <c r="D573" s="1"/>
      <c r="E573" s="2"/>
      <c r="F573" s="1"/>
      <c r="G573" s="1"/>
      <c r="H573" s="1"/>
      <c r="I573" s="1"/>
      <c r="J573" s="1"/>
      <c r="K573" s="1"/>
    </row>
    <row r="574" spans="4:11" ht="15.75" customHeight="1" x14ac:dyDescent="0.25">
      <c r="D574" s="1"/>
      <c r="E574" s="2"/>
      <c r="F574" s="1"/>
      <c r="G574" s="1"/>
      <c r="H574" s="1"/>
      <c r="I574" s="1"/>
      <c r="J574" s="1"/>
      <c r="K574" s="1"/>
    </row>
    <row r="575" spans="4:11" ht="15.75" customHeight="1" x14ac:dyDescent="0.25">
      <c r="D575" s="1"/>
      <c r="E575" s="2"/>
      <c r="F575" s="1"/>
      <c r="G575" s="1"/>
      <c r="H575" s="1"/>
      <c r="I575" s="1"/>
      <c r="J575" s="1"/>
      <c r="K575" s="1"/>
    </row>
    <row r="576" spans="4:11" ht="15.75" customHeight="1" x14ac:dyDescent="0.25">
      <c r="D576" s="1"/>
      <c r="E576" s="2"/>
      <c r="F576" s="1"/>
      <c r="G576" s="1"/>
      <c r="H576" s="1"/>
      <c r="I576" s="1"/>
      <c r="J576" s="1"/>
      <c r="K576" s="1"/>
    </row>
    <row r="577" spans="4:11" ht="15.75" customHeight="1" x14ac:dyDescent="0.25">
      <c r="D577" s="1"/>
      <c r="E577" s="2"/>
      <c r="F577" s="1"/>
      <c r="G577" s="1"/>
      <c r="H577" s="1"/>
      <c r="I577" s="1"/>
      <c r="J577" s="1"/>
      <c r="K577" s="1"/>
    </row>
    <row r="578" spans="4:11" ht="15.75" customHeight="1" x14ac:dyDescent="0.25">
      <c r="D578" s="1"/>
      <c r="E578" s="2"/>
      <c r="F578" s="1"/>
      <c r="G578" s="1"/>
      <c r="H578" s="1"/>
      <c r="I578" s="1"/>
      <c r="J578" s="1"/>
      <c r="K578" s="1"/>
    </row>
    <row r="579" spans="4:11" ht="15.75" customHeight="1" x14ac:dyDescent="0.25">
      <c r="D579" s="1"/>
      <c r="E579" s="2"/>
      <c r="F579" s="1"/>
      <c r="G579" s="1"/>
      <c r="H579" s="1"/>
      <c r="I579" s="1"/>
      <c r="J579" s="1"/>
      <c r="K579" s="1"/>
    </row>
    <row r="580" spans="4:11" ht="15.75" customHeight="1" x14ac:dyDescent="0.25">
      <c r="D580" s="1"/>
      <c r="E580" s="2"/>
      <c r="F580" s="1"/>
      <c r="G580" s="1"/>
      <c r="H580" s="1"/>
      <c r="I580" s="1"/>
      <c r="J580" s="1"/>
      <c r="K580" s="1"/>
    </row>
    <row r="581" spans="4:11" ht="15.75" customHeight="1" x14ac:dyDescent="0.25">
      <c r="D581" s="1"/>
      <c r="E581" s="2"/>
      <c r="F581" s="1"/>
      <c r="G581" s="1"/>
      <c r="H581" s="1"/>
      <c r="I581" s="1"/>
      <c r="J581" s="1"/>
      <c r="K581" s="1"/>
    </row>
    <row r="582" spans="4:11" ht="15.75" customHeight="1" x14ac:dyDescent="0.25">
      <c r="D582" s="1"/>
      <c r="E582" s="2"/>
      <c r="F582" s="1"/>
      <c r="G582" s="1"/>
      <c r="H582" s="1"/>
      <c r="I582" s="1"/>
      <c r="J582" s="1"/>
      <c r="K582" s="1"/>
    </row>
    <row r="583" spans="4:11" ht="15.75" customHeight="1" x14ac:dyDescent="0.25">
      <c r="D583" s="1"/>
      <c r="E583" s="2"/>
      <c r="F583" s="1"/>
      <c r="G583" s="1"/>
      <c r="H583" s="1"/>
      <c r="I583" s="1"/>
      <c r="J583" s="1"/>
      <c r="K583" s="1"/>
    </row>
    <row r="584" spans="4:11" ht="15.75" customHeight="1" x14ac:dyDescent="0.25">
      <c r="D584" s="1"/>
      <c r="E584" s="2"/>
      <c r="F584" s="1"/>
      <c r="G584" s="1"/>
      <c r="H584" s="1"/>
      <c r="I584" s="1"/>
      <c r="J584" s="1"/>
      <c r="K584" s="1"/>
    </row>
    <row r="585" spans="4:11" ht="15.75" customHeight="1" x14ac:dyDescent="0.25">
      <c r="D585" s="1"/>
      <c r="E585" s="2"/>
      <c r="F585" s="1"/>
      <c r="G585" s="1"/>
      <c r="H585" s="1"/>
      <c r="I585" s="1"/>
      <c r="J585" s="1"/>
      <c r="K585" s="1"/>
    </row>
    <row r="586" spans="4:11" ht="15.75" customHeight="1" x14ac:dyDescent="0.25">
      <c r="D586" s="1"/>
      <c r="E586" s="2"/>
      <c r="F586" s="1"/>
      <c r="G586" s="1"/>
      <c r="H586" s="1"/>
      <c r="I586" s="1"/>
      <c r="J586" s="1"/>
      <c r="K586" s="1"/>
    </row>
    <row r="587" spans="4:11" ht="15.75" customHeight="1" x14ac:dyDescent="0.25">
      <c r="D587" s="1"/>
      <c r="E587" s="2"/>
      <c r="F587" s="1"/>
      <c r="G587" s="1"/>
      <c r="H587" s="1"/>
      <c r="I587" s="1"/>
      <c r="J587" s="1"/>
      <c r="K587" s="1"/>
    </row>
    <row r="588" spans="4:11" ht="15.75" customHeight="1" x14ac:dyDescent="0.25">
      <c r="D588" s="1"/>
      <c r="E588" s="2"/>
      <c r="F588" s="1"/>
      <c r="G588" s="1"/>
      <c r="H588" s="1"/>
      <c r="I588" s="1"/>
      <c r="J588" s="1"/>
      <c r="K588" s="1"/>
    </row>
    <row r="589" spans="4:11" ht="15.75" customHeight="1" x14ac:dyDescent="0.25">
      <c r="D589" s="1"/>
      <c r="E589" s="2"/>
      <c r="F589" s="1"/>
      <c r="G589" s="1"/>
      <c r="H589" s="1"/>
      <c r="I589" s="1"/>
      <c r="J589" s="1"/>
      <c r="K589" s="1"/>
    </row>
    <row r="590" spans="4:11" ht="15.75" customHeight="1" x14ac:dyDescent="0.25">
      <c r="D590" s="1"/>
      <c r="E590" s="2"/>
      <c r="F590" s="1"/>
      <c r="G590" s="1"/>
      <c r="H590" s="1"/>
      <c r="I590" s="1"/>
      <c r="J590" s="1"/>
      <c r="K590" s="1"/>
    </row>
    <row r="591" spans="4:11" ht="15.75" customHeight="1" x14ac:dyDescent="0.25">
      <c r="D591" s="1"/>
      <c r="E591" s="2"/>
      <c r="F591" s="1"/>
      <c r="G591" s="1"/>
      <c r="H591" s="1"/>
      <c r="I591" s="1"/>
      <c r="J591" s="1"/>
      <c r="K591" s="1"/>
    </row>
    <row r="592" spans="4:11" ht="15.75" customHeight="1" x14ac:dyDescent="0.25">
      <c r="D592" s="1"/>
      <c r="E592" s="2"/>
      <c r="F592" s="1"/>
      <c r="G592" s="1"/>
      <c r="H592" s="1"/>
      <c r="I592" s="1"/>
      <c r="J592" s="1"/>
      <c r="K592" s="1"/>
    </row>
    <row r="593" spans="4:11" ht="15.75" customHeight="1" x14ac:dyDescent="0.25">
      <c r="D593" s="1"/>
      <c r="E593" s="2"/>
      <c r="F593" s="1"/>
      <c r="G593" s="1"/>
      <c r="H593" s="1"/>
      <c r="I593" s="1"/>
      <c r="J593" s="1"/>
      <c r="K593" s="1"/>
    </row>
    <row r="594" spans="4:11" ht="15.75" customHeight="1" x14ac:dyDescent="0.25">
      <c r="D594" s="1"/>
      <c r="E594" s="2"/>
      <c r="F594" s="1"/>
      <c r="G594" s="1"/>
      <c r="H594" s="1"/>
      <c r="I594" s="1"/>
      <c r="J594" s="1"/>
      <c r="K594" s="1"/>
    </row>
    <row r="595" spans="4:11" ht="15.75" customHeight="1" x14ac:dyDescent="0.25">
      <c r="D595" s="1"/>
      <c r="E595" s="2"/>
      <c r="F595" s="1"/>
      <c r="G595" s="1"/>
      <c r="H595" s="1"/>
      <c r="I595" s="1"/>
      <c r="J595" s="1"/>
      <c r="K595" s="1"/>
    </row>
    <row r="596" spans="4:11" ht="15.75" customHeight="1" x14ac:dyDescent="0.25">
      <c r="D596" s="1"/>
      <c r="E596" s="2"/>
      <c r="F596" s="1"/>
      <c r="G596" s="1"/>
      <c r="H596" s="1"/>
      <c r="I596" s="1"/>
      <c r="J596" s="1"/>
      <c r="K596" s="1"/>
    </row>
    <row r="597" spans="4:11" ht="15.75" customHeight="1" x14ac:dyDescent="0.25">
      <c r="D597" s="1"/>
      <c r="E597" s="2"/>
      <c r="F597" s="1"/>
      <c r="G597" s="1"/>
      <c r="H597" s="1"/>
      <c r="I597" s="1"/>
      <c r="J597" s="1"/>
      <c r="K597" s="1"/>
    </row>
    <row r="598" spans="4:11" ht="15.75" customHeight="1" x14ac:dyDescent="0.25">
      <c r="D598" s="1"/>
      <c r="E598" s="2"/>
      <c r="F598" s="1"/>
      <c r="G598" s="1"/>
      <c r="H598" s="1"/>
      <c r="I598" s="1"/>
      <c r="J598" s="1"/>
      <c r="K598" s="1"/>
    </row>
    <row r="599" spans="4:11" ht="15.75" customHeight="1" x14ac:dyDescent="0.25">
      <c r="D599" s="1"/>
      <c r="E599" s="2"/>
      <c r="F599" s="1"/>
      <c r="G599" s="1"/>
      <c r="H599" s="1"/>
      <c r="I599" s="1"/>
      <c r="J599" s="1"/>
      <c r="K599" s="1"/>
    </row>
    <row r="600" spans="4:11" ht="15.75" customHeight="1" x14ac:dyDescent="0.25">
      <c r="D600" s="1"/>
      <c r="E600" s="2"/>
      <c r="F600" s="1"/>
      <c r="G600" s="1"/>
      <c r="H600" s="1"/>
      <c r="I600" s="1"/>
      <c r="J600" s="1"/>
      <c r="K600" s="1"/>
    </row>
    <row r="601" spans="4:11" ht="15.75" customHeight="1" x14ac:dyDescent="0.25">
      <c r="D601" s="1"/>
      <c r="E601" s="2"/>
      <c r="F601" s="1"/>
      <c r="G601" s="1"/>
      <c r="H601" s="1"/>
      <c r="I601" s="1"/>
      <c r="J601" s="1"/>
      <c r="K601" s="1"/>
    </row>
    <row r="602" spans="4:11" ht="15.75" customHeight="1" x14ac:dyDescent="0.25">
      <c r="D602" s="1"/>
      <c r="E602" s="2"/>
      <c r="F602" s="1"/>
      <c r="G602" s="1"/>
      <c r="H602" s="1"/>
      <c r="I602" s="1"/>
      <c r="J602" s="1"/>
      <c r="K602" s="1"/>
    </row>
    <row r="603" spans="4:11" ht="15.75" customHeight="1" x14ac:dyDescent="0.25">
      <c r="D603" s="1"/>
      <c r="E603" s="2"/>
      <c r="F603" s="1"/>
      <c r="G603" s="1"/>
      <c r="H603" s="1"/>
      <c r="I603" s="1"/>
      <c r="J603" s="1"/>
      <c r="K603" s="1"/>
    </row>
    <row r="604" spans="4:11" ht="15.75" customHeight="1" x14ac:dyDescent="0.25">
      <c r="D604" s="1"/>
      <c r="E604" s="2"/>
      <c r="F604" s="1"/>
      <c r="G604" s="1"/>
      <c r="H604" s="1"/>
      <c r="I604" s="1"/>
      <c r="J604" s="1"/>
      <c r="K604" s="1"/>
    </row>
    <row r="605" spans="4:11" ht="15.75" customHeight="1" x14ac:dyDescent="0.25">
      <c r="D605" s="1"/>
      <c r="E605" s="2"/>
      <c r="F605" s="1"/>
      <c r="G605" s="1"/>
      <c r="H605" s="1"/>
      <c r="I605" s="1"/>
      <c r="J605" s="1"/>
      <c r="K605" s="1"/>
    </row>
    <row r="606" spans="4:11" ht="15.75" customHeight="1" x14ac:dyDescent="0.25">
      <c r="D606" s="1"/>
      <c r="E606" s="2"/>
      <c r="F606" s="1"/>
      <c r="G606" s="1"/>
      <c r="H606" s="1"/>
      <c r="I606" s="1"/>
      <c r="J606" s="1"/>
      <c r="K606" s="1"/>
    </row>
    <row r="607" spans="4:11" ht="15.75" customHeight="1" x14ac:dyDescent="0.25">
      <c r="D607" s="1"/>
      <c r="E607" s="2"/>
      <c r="F607" s="1"/>
      <c r="G607" s="1"/>
      <c r="H607" s="1"/>
      <c r="I607" s="1"/>
      <c r="J607" s="1"/>
      <c r="K607" s="1"/>
    </row>
    <row r="608" spans="4:11" ht="15.75" customHeight="1" x14ac:dyDescent="0.25">
      <c r="D608" s="1"/>
      <c r="E608" s="2"/>
      <c r="F608" s="1"/>
      <c r="G608" s="1"/>
      <c r="H608" s="1"/>
      <c r="I608" s="1"/>
      <c r="J608" s="1"/>
      <c r="K608" s="1"/>
    </row>
    <row r="609" spans="4:11" ht="15.75" customHeight="1" x14ac:dyDescent="0.25">
      <c r="D609" s="1"/>
      <c r="E609" s="2"/>
      <c r="F609" s="1"/>
      <c r="G609" s="1"/>
      <c r="H609" s="1"/>
      <c r="I609" s="1"/>
      <c r="J609" s="1"/>
      <c r="K609" s="1"/>
    </row>
    <row r="610" spans="4:11" ht="15.75" customHeight="1" x14ac:dyDescent="0.25">
      <c r="D610" s="1"/>
      <c r="E610" s="2"/>
      <c r="F610" s="1"/>
      <c r="G610" s="1"/>
      <c r="H610" s="1"/>
      <c r="I610" s="1"/>
      <c r="J610" s="1"/>
      <c r="K610" s="1"/>
    </row>
    <row r="611" spans="4:11" ht="15.75" customHeight="1" x14ac:dyDescent="0.25">
      <c r="D611" s="1"/>
      <c r="E611" s="2"/>
      <c r="F611" s="1"/>
      <c r="G611" s="1"/>
      <c r="H611" s="1"/>
      <c r="I611" s="1"/>
      <c r="J611" s="1"/>
      <c r="K611" s="1"/>
    </row>
    <row r="612" spans="4:11" ht="15.75" customHeight="1" x14ac:dyDescent="0.25">
      <c r="D612" s="1"/>
      <c r="E612" s="2"/>
      <c r="F612" s="1"/>
      <c r="G612" s="1"/>
      <c r="H612" s="1"/>
      <c r="I612" s="1"/>
      <c r="J612" s="1"/>
      <c r="K612" s="1"/>
    </row>
    <row r="613" spans="4:11" ht="15.75" customHeight="1" x14ac:dyDescent="0.25">
      <c r="D613" s="1"/>
      <c r="E613" s="2"/>
      <c r="F613" s="1"/>
      <c r="G613" s="1"/>
      <c r="H613" s="1"/>
      <c r="I613" s="1"/>
      <c r="J613" s="1"/>
      <c r="K613" s="1"/>
    </row>
    <row r="614" spans="4:11" ht="15.75" customHeight="1" x14ac:dyDescent="0.25">
      <c r="D614" s="1"/>
      <c r="E614" s="2"/>
      <c r="F614" s="1"/>
      <c r="G614" s="1"/>
      <c r="H614" s="1"/>
      <c r="I614" s="1"/>
      <c r="J614" s="1"/>
      <c r="K614" s="1"/>
    </row>
    <row r="615" spans="4:11" ht="15.75" customHeight="1" x14ac:dyDescent="0.25">
      <c r="D615" s="1"/>
      <c r="E615" s="2"/>
      <c r="F615" s="1"/>
      <c r="G615" s="1"/>
      <c r="H615" s="1"/>
      <c r="I615" s="1"/>
      <c r="J615" s="1"/>
      <c r="K615" s="1"/>
    </row>
    <row r="616" spans="4:11" ht="15.75" customHeight="1" x14ac:dyDescent="0.25">
      <c r="D616" s="1"/>
      <c r="E616" s="2"/>
      <c r="F616" s="1"/>
      <c r="G616" s="1"/>
      <c r="H616" s="1"/>
      <c r="I616" s="1"/>
      <c r="J616" s="1"/>
      <c r="K616" s="1"/>
    </row>
    <row r="617" spans="4:11" ht="15.75" customHeight="1" x14ac:dyDescent="0.25">
      <c r="D617" s="1"/>
      <c r="E617" s="2"/>
      <c r="F617" s="1"/>
      <c r="G617" s="1"/>
      <c r="H617" s="1"/>
      <c r="I617" s="1"/>
      <c r="J617" s="1"/>
      <c r="K617" s="1"/>
    </row>
    <row r="618" spans="4:11" ht="15.75" customHeight="1" x14ac:dyDescent="0.25">
      <c r="D618" s="1"/>
      <c r="E618" s="2"/>
      <c r="F618" s="1"/>
      <c r="G618" s="1"/>
      <c r="H618" s="1"/>
      <c r="I618" s="1"/>
      <c r="J618" s="1"/>
      <c r="K618" s="1"/>
    </row>
    <row r="619" spans="4:11" ht="15.75" customHeight="1" x14ac:dyDescent="0.25">
      <c r="D619" s="1"/>
      <c r="E619" s="2"/>
      <c r="F619" s="1"/>
      <c r="G619" s="1"/>
      <c r="H619" s="1"/>
      <c r="I619" s="1"/>
      <c r="J619" s="1"/>
      <c r="K619" s="1"/>
    </row>
    <row r="620" spans="4:11" ht="15.75" customHeight="1" x14ac:dyDescent="0.25">
      <c r="D620" s="1"/>
      <c r="E620" s="2"/>
      <c r="F620" s="1"/>
      <c r="G620" s="1"/>
      <c r="H620" s="1"/>
      <c r="I620" s="1"/>
      <c r="J620" s="1"/>
      <c r="K620" s="1"/>
    </row>
    <row r="621" spans="4:11" ht="15.75" customHeight="1" x14ac:dyDescent="0.25">
      <c r="D621" s="1"/>
      <c r="E621" s="2"/>
      <c r="F621" s="1"/>
      <c r="G621" s="1"/>
      <c r="H621" s="1"/>
      <c r="I621" s="1"/>
      <c r="J621" s="1"/>
      <c r="K621" s="1"/>
    </row>
    <row r="622" spans="4:11" ht="15.75" customHeight="1" x14ac:dyDescent="0.25">
      <c r="D622" s="1"/>
      <c r="E622" s="2"/>
      <c r="F622" s="1"/>
      <c r="G622" s="1"/>
      <c r="H622" s="1"/>
      <c r="I622" s="1"/>
      <c r="J622" s="1"/>
      <c r="K622" s="1"/>
    </row>
    <row r="623" spans="4:11" ht="15.75" customHeight="1" x14ac:dyDescent="0.25">
      <c r="D623" s="1"/>
      <c r="E623" s="2"/>
      <c r="F623" s="1"/>
      <c r="G623" s="1"/>
      <c r="H623" s="1"/>
      <c r="I623" s="1"/>
      <c r="J623" s="1"/>
      <c r="K623" s="1"/>
    </row>
    <row r="624" spans="4:11" ht="15.75" customHeight="1" x14ac:dyDescent="0.25">
      <c r="D624" s="1"/>
      <c r="E624" s="2"/>
      <c r="F624" s="1"/>
      <c r="G624" s="1"/>
      <c r="H624" s="1"/>
      <c r="I624" s="1"/>
      <c r="J624" s="1"/>
      <c r="K624" s="1"/>
    </row>
    <row r="625" spans="4:11" ht="15.75" customHeight="1" x14ac:dyDescent="0.25">
      <c r="D625" s="1"/>
      <c r="E625" s="2"/>
      <c r="F625" s="1"/>
      <c r="G625" s="1"/>
      <c r="H625" s="1"/>
      <c r="I625" s="1"/>
      <c r="J625" s="1"/>
      <c r="K625" s="1"/>
    </row>
    <row r="626" spans="4:11" ht="15.75" customHeight="1" x14ac:dyDescent="0.25">
      <c r="D626" s="1"/>
      <c r="E626" s="2"/>
      <c r="F626" s="1"/>
      <c r="G626" s="1"/>
      <c r="H626" s="1"/>
      <c r="I626" s="1"/>
      <c r="J626" s="1"/>
      <c r="K626" s="1"/>
    </row>
    <row r="627" spans="4:11" ht="15.75" customHeight="1" x14ac:dyDescent="0.25">
      <c r="D627" s="1"/>
      <c r="E627" s="2"/>
      <c r="F627" s="1"/>
      <c r="G627" s="1"/>
      <c r="H627" s="1"/>
      <c r="I627" s="1"/>
      <c r="J627" s="1"/>
      <c r="K627" s="1"/>
    </row>
    <row r="628" spans="4:11" ht="15.75" customHeight="1" x14ac:dyDescent="0.25">
      <c r="D628" s="1"/>
      <c r="E628" s="2"/>
      <c r="F628" s="1"/>
      <c r="G628" s="1"/>
      <c r="H628" s="1"/>
      <c r="I628" s="1"/>
      <c r="J628" s="1"/>
      <c r="K628" s="1"/>
    </row>
    <row r="629" spans="4:11" ht="15.75" customHeight="1" x14ac:dyDescent="0.25">
      <c r="D629" s="1"/>
      <c r="E629" s="2"/>
      <c r="F629" s="1"/>
      <c r="G629" s="1"/>
      <c r="H629" s="1"/>
      <c r="I629" s="1"/>
      <c r="J629" s="1"/>
      <c r="K629" s="1"/>
    </row>
    <row r="630" spans="4:11" ht="15.75" customHeight="1" x14ac:dyDescent="0.25">
      <c r="D630" s="1"/>
      <c r="E630" s="2"/>
      <c r="F630" s="1"/>
      <c r="G630" s="1"/>
      <c r="H630" s="1"/>
      <c r="I630" s="1"/>
      <c r="J630" s="1"/>
      <c r="K630" s="1"/>
    </row>
    <row r="631" spans="4:11" ht="15.75" customHeight="1" x14ac:dyDescent="0.25">
      <c r="D631" s="1"/>
      <c r="E631" s="2"/>
      <c r="F631" s="1"/>
      <c r="G631" s="1"/>
      <c r="H631" s="1"/>
      <c r="I631" s="1"/>
      <c r="J631" s="1"/>
      <c r="K631" s="1"/>
    </row>
    <row r="632" spans="4:11" ht="15.75" customHeight="1" x14ac:dyDescent="0.25">
      <c r="D632" s="1"/>
      <c r="E632" s="2"/>
      <c r="F632" s="1"/>
      <c r="G632" s="1"/>
      <c r="H632" s="1"/>
      <c r="I632" s="1"/>
      <c r="J632" s="1"/>
      <c r="K632" s="1"/>
    </row>
    <row r="633" spans="4:11" ht="15.75" customHeight="1" x14ac:dyDescent="0.25">
      <c r="D633" s="1"/>
      <c r="E633" s="2"/>
      <c r="F633" s="1"/>
      <c r="G633" s="1"/>
      <c r="H633" s="1"/>
      <c r="I633" s="1"/>
      <c r="J633" s="1"/>
      <c r="K633" s="1"/>
    </row>
    <row r="634" spans="4:11" ht="15.75" customHeight="1" x14ac:dyDescent="0.25">
      <c r="D634" s="1"/>
      <c r="E634" s="2"/>
      <c r="F634" s="1"/>
      <c r="G634" s="1"/>
      <c r="H634" s="1"/>
      <c r="I634" s="1"/>
      <c r="J634" s="1"/>
      <c r="K634" s="1"/>
    </row>
    <row r="635" spans="4:11" ht="15.75" customHeight="1" x14ac:dyDescent="0.25">
      <c r="D635" s="1"/>
      <c r="E635" s="2"/>
      <c r="F635" s="1"/>
      <c r="G635" s="1"/>
      <c r="H635" s="1"/>
      <c r="I635" s="1"/>
      <c r="J635" s="1"/>
      <c r="K635" s="1"/>
    </row>
    <row r="636" spans="4:11" ht="15.75" customHeight="1" x14ac:dyDescent="0.25">
      <c r="D636" s="1"/>
      <c r="E636" s="2"/>
      <c r="F636" s="1"/>
      <c r="G636" s="1"/>
      <c r="H636" s="1"/>
      <c r="I636" s="1"/>
      <c r="J636" s="1"/>
      <c r="K636" s="1"/>
    </row>
    <row r="637" spans="4:11" ht="15.75" customHeight="1" x14ac:dyDescent="0.25">
      <c r="D637" s="1"/>
      <c r="E637" s="2"/>
      <c r="F637" s="1"/>
      <c r="G637" s="1"/>
      <c r="H637" s="1"/>
      <c r="I637" s="1"/>
      <c r="J637" s="1"/>
      <c r="K637" s="1"/>
    </row>
    <row r="638" spans="4:11" ht="15.75" customHeight="1" x14ac:dyDescent="0.25">
      <c r="D638" s="1"/>
      <c r="E638" s="2"/>
      <c r="F638" s="1"/>
      <c r="G638" s="1"/>
      <c r="H638" s="1"/>
      <c r="I638" s="1"/>
      <c r="J638" s="1"/>
      <c r="K638" s="1"/>
    </row>
    <row r="639" spans="4:11" ht="15.75" customHeight="1" x14ac:dyDescent="0.25">
      <c r="D639" s="1"/>
      <c r="E639" s="2"/>
      <c r="F639" s="1"/>
      <c r="G639" s="1"/>
      <c r="H639" s="1"/>
      <c r="I639" s="1"/>
      <c r="J639" s="1"/>
      <c r="K639" s="1"/>
    </row>
    <row r="640" spans="4:11" ht="15.75" customHeight="1" x14ac:dyDescent="0.25">
      <c r="D640" s="1"/>
      <c r="E640" s="2"/>
      <c r="F640" s="1"/>
      <c r="G640" s="1"/>
      <c r="H640" s="1"/>
      <c r="I640" s="1"/>
      <c r="J640" s="1"/>
      <c r="K640" s="1"/>
    </row>
    <row r="641" spans="4:11" ht="15.75" customHeight="1" x14ac:dyDescent="0.25">
      <c r="D641" s="1"/>
      <c r="E641" s="2"/>
      <c r="F641" s="1"/>
      <c r="G641" s="1"/>
      <c r="H641" s="1"/>
      <c r="I641" s="1"/>
      <c r="J641" s="1"/>
      <c r="K641" s="1"/>
    </row>
    <row r="642" spans="4:11" ht="15.75" customHeight="1" x14ac:dyDescent="0.25">
      <c r="D642" s="1"/>
      <c r="E642" s="2"/>
      <c r="F642" s="1"/>
      <c r="G642" s="1"/>
      <c r="H642" s="1"/>
      <c r="I642" s="1"/>
      <c r="J642" s="1"/>
      <c r="K642" s="1"/>
    </row>
    <row r="643" spans="4:11" ht="15.75" customHeight="1" x14ac:dyDescent="0.25">
      <c r="D643" s="1"/>
      <c r="E643" s="2"/>
      <c r="F643" s="1"/>
      <c r="G643" s="1"/>
      <c r="H643" s="1"/>
      <c r="I643" s="1"/>
      <c r="J643" s="1"/>
      <c r="K643" s="1"/>
    </row>
    <row r="644" spans="4:11" ht="15.75" customHeight="1" x14ac:dyDescent="0.25">
      <c r="D644" s="1"/>
      <c r="E644" s="2"/>
      <c r="F644" s="1"/>
      <c r="G644" s="1"/>
      <c r="H644" s="1"/>
      <c r="I644" s="1"/>
      <c r="J644" s="1"/>
      <c r="K644" s="1"/>
    </row>
    <row r="645" spans="4:11" ht="15.75" customHeight="1" x14ac:dyDescent="0.25">
      <c r="D645" s="1"/>
      <c r="E645" s="2"/>
      <c r="F645" s="1"/>
      <c r="G645" s="1"/>
      <c r="H645" s="1"/>
      <c r="I645" s="1"/>
      <c r="J645" s="1"/>
      <c r="K645" s="1"/>
    </row>
    <row r="646" spans="4:11" ht="15.75" customHeight="1" x14ac:dyDescent="0.25">
      <c r="D646" s="1"/>
      <c r="E646" s="2"/>
      <c r="F646" s="1"/>
      <c r="G646" s="1"/>
      <c r="H646" s="1"/>
      <c r="I646" s="1"/>
      <c r="J646" s="1"/>
      <c r="K646" s="1"/>
    </row>
    <row r="647" spans="4:11" ht="15.75" customHeight="1" x14ac:dyDescent="0.25">
      <c r="D647" s="1"/>
      <c r="E647" s="2"/>
      <c r="F647" s="1"/>
      <c r="G647" s="1"/>
      <c r="H647" s="1"/>
      <c r="I647" s="1"/>
      <c r="J647" s="1"/>
      <c r="K647" s="1"/>
    </row>
    <row r="648" spans="4:11" ht="15.75" customHeight="1" x14ac:dyDescent="0.25">
      <c r="D648" s="1"/>
      <c r="E648" s="2"/>
      <c r="F648" s="1"/>
      <c r="G648" s="1"/>
      <c r="H648" s="1"/>
      <c r="I648" s="1"/>
      <c r="J648" s="1"/>
      <c r="K648" s="1"/>
    </row>
    <row r="649" spans="4:11" ht="15.75" customHeight="1" x14ac:dyDescent="0.25">
      <c r="D649" s="1"/>
      <c r="E649" s="2"/>
      <c r="F649" s="1"/>
      <c r="G649" s="1"/>
      <c r="H649" s="1"/>
      <c r="I649" s="1"/>
      <c r="J649" s="1"/>
      <c r="K649" s="1"/>
    </row>
    <row r="650" spans="4:11" ht="15.75" customHeight="1" x14ac:dyDescent="0.25">
      <c r="D650" s="1"/>
      <c r="E650" s="2"/>
      <c r="F650" s="1"/>
      <c r="G650" s="1"/>
      <c r="H650" s="1"/>
      <c r="I650" s="1"/>
      <c r="J650" s="1"/>
      <c r="K650" s="1"/>
    </row>
    <row r="651" spans="4:11" ht="15.75" customHeight="1" x14ac:dyDescent="0.25">
      <c r="D651" s="1"/>
      <c r="E651" s="2"/>
      <c r="F651" s="1"/>
      <c r="G651" s="1"/>
      <c r="H651" s="1"/>
      <c r="I651" s="1"/>
      <c r="J651" s="1"/>
      <c r="K651" s="1"/>
    </row>
    <row r="652" spans="4:11" ht="15.75" customHeight="1" x14ac:dyDescent="0.25">
      <c r="D652" s="1"/>
      <c r="E652" s="2"/>
      <c r="F652" s="1"/>
      <c r="G652" s="1"/>
      <c r="H652" s="1"/>
      <c r="I652" s="1"/>
      <c r="J652" s="1"/>
      <c r="K652" s="1"/>
    </row>
    <row r="653" spans="4:11" ht="15.75" customHeight="1" x14ac:dyDescent="0.25">
      <c r="D653" s="1"/>
      <c r="E653" s="2"/>
      <c r="F653" s="1"/>
      <c r="G653" s="1"/>
      <c r="H653" s="1"/>
      <c r="I653" s="1"/>
      <c r="J653" s="1"/>
      <c r="K653" s="1"/>
    </row>
    <row r="654" spans="4:11" ht="15.75" customHeight="1" x14ac:dyDescent="0.25">
      <c r="D654" s="1"/>
      <c r="E654" s="2"/>
      <c r="F654" s="1"/>
      <c r="G654" s="1"/>
      <c r="H654" s="1"/>
      <c r="I654" s="1"/>
      <c r="J654" s="1"/>
      <c r="K654" s="1"/>
    </row>
    <row r="655" spans="4:11" ht="15.75" customHeight="1" x14ac:dyDescent="0.25">
      <c r="D655" s="1"/>
      <c r="E655" s="2"/>
      <c r="F655" s="1"/>
      <c r="G655" s="1"/>
      <c r="H655" s="1"/>
      <c r="I655" s="1"/>
      <c r="J655" s="1"/>
      <c r="K655" s="1"/>
    </row>
    <row r="656" spans="4:11" ht="15.75" customHeight="1" x14ac:dyDescent="0.25">
      <c r="D656" s="1"/>
      <c r="E656" s="2"/>
      <c r="F656" s="1"/>
      <c r="G656" s="1"/>
      <c r="H656" s="1"/>
      <c r="I656" s="1"/>
      <c r="J656" s="1"/>
      <c r="K656" s="1"/>
    </row>
    <row r="657" spans="4:11" ht="15.75" customHeight="1" x14ac:dyDescent="0.25">
      <c r="D657" s="1"/>
      <c r="E657" s="2"/>
      <c r="F657" s="1"/>
      <c r="G657" s="1"/>
      <c r="H657" s="1"/>
      <c r="I657" s="1"/>
      <c r="J657" s="1"/>
      <c r="K657" s="1"/>
    </row>
    <row r="658" spans="4:11" ht="15.75" customHeight="1" x14ac:dyDescent="0.25">
      <c r="D658" s="1"/>
      <c r="E658" s="2"/>
      <c r="F658" s="1"/>
      <c r="G658" s="1"/>
      <c r="H658" s="1"/>
      <c r="I658" s="1"/>
      <c r="J658" s="1"/>
      <c r="K658" s="1"/>
    </row>
    <row r="659" spans="4:11" ht="15.75" customHeight="1" x14ac:dyDescent="0.25">
      <c r="D659" s="1"/>
      <c r="E659" s="2"/>
      <c r="F659" s="1"/>
      <c r="G659" s="1"/>
      <c r="H659" s="1"/>
      <c r="I659" s="1"/>
      <c r="J659" s="1"/>
      <c r="K659" s="1"/>
    </row>
    <row r="660" spans="4:11" ht="15.75" customHeight="1" x14ac:dyDescent="0.25">
      <c r="D660" s="1"/>
      <c r="E660" s="2"/>
      <c r="F660" s="1"/>
      <c r="G660" s="1"/>
      <c r="H660" s="1"/>
      <c r="I660" s="1"/>
      <c r="J660" s="1"/>
      <c r="K660" s="1"/>
    </row>
    <row r="661" spans="4:11" ht="15.75" customHeight="1" x14ac:dyDescent="0.25">
      <c r="D661" s="1"/>
      <c r="E661" s="2"/>
      <c r="F661" s="1"/>
      <c r="G661" s="1"/>
      <c r="H661" s="1"/>
      <c r="I661" s="1"/>
      <c r="J661" s="1"/>
      <c r="K661" s="1"/>
    </row>
    <row r="662" spans="4:11" ht="15.75" customHeight="1" x14ac:dyDescent="0.25">
      <c r="D662" s="1"/>
      <c r="E662" s="2"/>
      <c r="F662" s="1"/>
      <c r="G662" s="1"/>
      <c r="H662" s="1"/>
      <c r="I662" s="1"/>
      <c r="J662" s="1"/>
      <c r="K662" s="1"/>
    </row>
    <row r="663" spans="4:11" ht="15.75" customHeight="1" x14ac:dyDescent="0.25">
      <c r="D663" s="1"/>
      <c r="E663" s="2"/>
      <c r="F663" s="1"/>
      <c r="G663" s="1"/>
      <c r="H663" s="1"/>
      <c r="I663" s="1"/>
      <c r="J663" s="1"/>
      <c r="K663" s="1"/>
    </row>
    <row r="664" spans="4:11" ht="15.75" customHeight="1" x14ac:dyDescent="0.25">
      <c r="D664" s="1"/>
      <c r="E664" s="2"/>
      <c r="F664" s="1"/>
      <c r="G664" s="1"/>
      <c r="H664" s="1"/>
      <c r="I664" s="1"/>
      <c r="J664" s="1"/>
      <c r="K664" s="1"/>
    </row>
    <row r="665" spans="4:11" ht="15.75" customHeight="1" x14ac:dyDescent="0.25">
      <c r="D665" s="1"/>
      <c r="E665" s="2"/>
      <c r="F665" s="1"/>
      <c r="G665" s="1"/>
      <c r="H665" s="1"/>
      <c r="I665" s="1"/>
      <c r="J665" s="1"/>
      <c r="K665" s="1"/>
    </row>
    <row r="666" spans="4:11" ht="15.75" customHeight="1" x14ac:dyDescent="0.25">
      <c r="D666" s="1"/>
      <c r="E666" s="2"/>
      <c r="F666" s="1"/>
      <c r="G666" s="1"/>
      <c r="H666" s="1"/>
      <c r="I666" s="1"/>
      <c r="J666" s="1"/>
      <c r="K666" s="1"/>
    </row>
    <row r="667" spans="4:11" ht="15.75" customHeight="1" x14ac:dyDescent="0.25">
      <c r="D667" s="1"/>
      <c r="E667" s="2"/>
      <c r="F667" s="1"/>
      <c r="G667" s="1"/>
      <c r="H667" s="1"/>
      <c r="I667" s="1"/>
      <c r="J667" s="1"/>
      <c r="K667" s="1"/>
    </row>
    <row r="668" spans="4:11" ht="15.75" customHeight="1" x14ac:dyDescent="0.25">
      <c r="D668" s="1"/>
      <c r="E668" s="2"/>
      <c r="F668" s="1"/>
      <c r="G668" s="1"/>
      <c r="H668" s="1"/>
      <c r="I668" s="1"/>
      <c r="J668" s="1"/>
      <c r="K668" s="1"/>
    </row>
    <row r="669" spans="4:11" ht="15.75" customHeight="1" x14ac:dyDescent="0.25">
      <c r="D669" s="1"/>
      <c r="E669" s="2"/>
      <c r="F669" s="1"/>
      <c r="G669" s="1"/>
      <c r="H669" s="1"/>
      <c r="I669" s="1"/>
      <c r="J669" s="1"/>
      <c r="K669" s="1"/>
    </row>
    <row r="670" spans="4:11" ht="15.75" customHeight="1" x14ac:dyDescent="0.25">
      <c r="D670" s="1"/>
      <c r="E670" s="2"/>
      <c r="F670" s="1"/>
      <c r="G670" s="1"/>
      <c r="H670" s="1"/>
      <c r="I670" s="1"/>
      <c r="J670" s="1"/>
      <c r="K670" s="1"/>
    </row>
    <row r="671" spans="4:11" ht="15.75" customHeight="1" x14ac:dyDescent="0.25">
      <c r="D671" s="1"/>
      <c r="E671" s="2"/>
      <c r="F671" s="1"/>
      <c r="G671" s="1"/>
      <c r="H671" s="1"/>
      <c r="I671" s="1"/>
      <c r="J671" s="1"/>
      <c r="K671" s="1"/>
    </row>
    <row r="672" spans="4:11" ht="15.75" customHeight="1" x14ac:dyDescent="0.25">
      <c r="D672" s="1"/>
      <c r="E672" s="2"/>
      <c r="F672" s="1"/>
      <c r="G672" s="1"/>
      <c r="H672" s="1"/>
      <c r="I672" s="1"/>
      <c r="J672" s="1"/>
      <c r="K672" s="1"/>
    </row>
    <row r="673" spans="4:11" ht="15.75" customHeight="1" x14ac:dyDescent="0.25">
      <c r="D673" s="1"/>
      <c r="E673" s="2"/>
      <c r="F673" s="1"/>
      <c r="G673" s="1"/>
      <c r="H673" s="1"/>
      <c r="I673" s="1"/>
      <c r="J673" s="1"/>
      <c r="K673" s="1"/>
    </row>
    <row r="674" spans="4:11" ht="15.75" customHeight="1" x14ac:dyDescent="0.25">
      <c r="D674" s="1"/>
      <c r="E674" s="2"/>
      <c r="F674" s="1"/>
      <c r="G674" s="1"/>
      <c r="H674" s="1"/>
      <c r="I674" s="1"/>
      <c r="J674" s="1"/>
      <c r="K674" s="1"/>
    </row>
    <row r="675" spans="4:11" ht="15.75" customHeight="1" x14ac:dyDescent="0.25">
      <c r="D675" s="1"/>
      <c r="E675" s="2"/>
      <c r="F675" s="1"/>
      <c r="G675" s="1"/>
      <c r="H675" s="1"/>
      <c r="I675" s="1"/>
      <c r="J675" s="1"/>
      <c r="K675" s="1"/>
    </row>
    <row r="676" spans="4:11" ht="15.75" customHeight="1" x14ac:dyDescent="0.25">
      <c r="D676" s="1"/>
      <c r="E676" s="2"/>
      <c r="F676" s="1"/>
      <c r="G676" s="1"/>
      <c r="H676" s="1"/>
      <c r="I676" s="1"/>
      <c r="J676" s="1"/>
      <c r="K676" s="1"/>
    </row>
    <row r="677" spans="4:11" ht="15.75" customHeight="1" x14ac:dyDescent="0.25">
      <c r="D677" s="1"/>
      <c r="E677" s="2"/>
      <c r="F677" s="1"/>
      <c r="G677" s="1"/>
      <c r="H677" s="1"/>
      <c r="I677" s="1"/>
      <c r="J677" s="1"/>
      <c r="K677" s="1"/>
    </row>
    <row r="678" spans="4:11" ht="15.75" customHeight="1" x14ac:dyDescent="0.25">
      <c r="D678" s="1"/>
      <c r="E678" s="2"/>
      <c r="F678" s="1"/>
      <c r="G678" s="1"/>
      <c r="H678" s="1"/>
      <c r="I678" s="1"/>
      <c r="J678" s="1"/>
      <c r="K678" s="1"/>
    </row>
    <row r="679" spans="4:11" ht="15.75" customHeight="1" x14ac:dyDescent="0.25">
      <c r="D679" s="1"/>
      <c r="E679" s="2"/>
      <c r="F679" s="1"/>
      <c r="G679" s="1"/>
      <c r="H679" s="1"/>
      <c r="I679" s="1"/>
      <c r="J679" s="1"/>
      <c r="K679" s="1"/>
    </row>
    <row r="680" spans="4:11" ht="15.75" customHeight="1" x14ac:dyDescent="0.25">
      <c r="D680" s="1"/>
      <c r="E680" s="2"/>
      <c r="F680" s="1"/>
      <c r="G680" s="1"/>
      <c r="H680" s="1"/>
      <c r="I680" s="1"/>
      <c r="J680" s="1"/>
      <c r="K680" s="1"/>
    </row>
    <row r="681" spans="4:11" ht="15.75" customHeight="1" x14ac:dyDescent="0.25">
      <c r="D681" s="1"/>
      <c r="E681" s="2"/>
      <c r="F681" s="1"/>
      <c r="G681" s="1"/>
      <c r="H681" s="1"/>
      <c r="I681" s="1"/>
      <c r="J681" s="1"/>
      <c r="K681" s="1"/>
    </row>
    <row r="682" spans="4:11" ht="15.75" customHeight="1" x14ac:dyDescent="0.25">
      <c r="D682" s="1"/>
      <c r="E682" s="2"/>
      <c r="F682" s="1"/>
      <c r="G682" s="1"/>
      <c r="H682" s="1"/>
      <c r="I682" s="1"/>
      <c r="J682" s="1"/>
      <c r="K682" s="1"/>
    </row>
    <row r="683" spans="4:11" ht="15.75" customHeight="1" x14ac:dyDescent="0.25">
      <c r="D683" s="1"/>
      <c r="E683" s="2"/>
      <c r="F683" s="1"/>
      <c r="G683" s="1"/>
      <c r="H683" s="1"/>
      <c r="I683" s="1"/>
      <c r="J683" s="1"/>
      <c r="K683" s="1"/>
    </row>
    <row r="684" spans="4:11" ht="15.75" customHeight="1" x14ac:dyDescent="0.25">
      <c r="D684" s="1"/>
      <c r="E684" s="2"/>
      <c r="F684" s="1"/>
      <c r="G684" s="1"/>
      <c r="H684" s="1"/>
      <c r="I684" s="1"/>
      <c r="J684" s="1"/>
      <c r="K684" s="1"/>
    </row>
    <row r="685" spans="4:11" ht="15.75" customHeight="1" x14ac:dyDescent="0.25">
      <c r="D685" s="1"/>
      <c r="E685" s="2"/>
      <c r="F685" s="1"/>
      <c r="G685" s="1"/>
      <c r="H685" s="1"/>
      <c r="I685" s="1"/>
      <c r="J685" s="1"/>
      <c r="K685" s="1"/>
    </row>
    <row r="686" spans="4:11" ht="15.75" customHeight="1" x14ac:dyDescent="0.25">
      <c r="D686" s="1"/>
      <c r="E686" s="2"/>
      <c r="F686" s="1"/>
      <c r="G686" s="1"/>
      <c r="H686" s="1"/>
      <c r="I686" s="1"/>
      <c r="J686" s="1"/>
      <c r="K686" s="1"/>
    </row>
    <row r="687" spans="4:11" ht="15.75" customHeight="1" x14ac:dyDescent="0.25">
      <c r="D687" s="1"/>
      <c r="E687" s="2"/>
      <c r="F687" s="1"/>
      <c r="G687" s="1"/>
      <c r="H687" s="1"/>
      <c r="I687" s="1"/>
      <c r="J687" s="1"/>
      <c r="K687" s="1"/>
    </row>
    <row r="688" spans="4:11" ht="15.75" customHeight="1" x14ac:dyDescent="0.25">
      <c r="D688" s="1"/>
      <c r="E688" s="2"/>
      <c r="F688" s="1"/>
      <c r="G688" s="1"/>
      <c r="H688" s="1"/>
      <c r="I688" s="1"/>
      <c r="J688" s="1"/>
      <c r="K688" s="1"/>
    </row>
    <row r="689" spans="4:11" ht="15.75" customHeight="1" x14ac:dyDescent="0.25">
      <c r="D689" s="1"/>
      <c r="E689" s="2"/>
      <c r="F689" s="1"/>
      <c r="G689" s="1"/>
      <c r="H689" s="1"/>
      <c r="I689" s="1"/>
      <c r="J689" s="1"/>
      <c r="K689" s="1"/>
    </row>
    <row r="690" spans="4:11" ht="15.75" customHeight="1" x14ac:dyDescent="0.25">
      <c r="D690" s="1"/>
      <c r="E690" s="2"/>
      <c r="F690" s="1"/>
      <c r="G690" s="1"/>
      <c r="H690" s="1"/>
      <c r="I690" s="1"/>
      <c r="J690" s="1"/>
      <c r="K690" s="1"/>
    </row>
    <row r="691" spans="4:11" ht="15.75" customHeight="1" x14ac:dyDescent="0.25">
      <c r="D691" s="1"/>
      <c r="E691" s="2"/>
      <c r="F691" s="1"/>
      <c r="G691" s="1"/>
      <c r="H691" s="1"/>
      <c r="I691" s="1"/>
      <c r="J691" s="1"/>
      <c r="K691" s="1"/>
    </row>
    <row r="692" spans="4:11" ht="15.75" customHeight="1" x14ac:dyDescent="0.25">
      <c r="D692" s="1"/>
      <c r="E692" s="2"/>
      <c r="F692" s="1"/>
      <c r="G692" s="1"/>
      <c r="H692" s="1"/>
      <c r="I692" s="1"/>
      <c r="J692" s="1"/>
      <c r="K692" s="1"/>
    </row>
    <row r="693" spans="4:11" ht="15.75" customHeight="1" x14ac:dyDescent="0.25">
      <c r="D693" s="1"/>
      <c r="E693" s="2"/>
      <c r="F693" s="1"/>
      <c r="G693" s="1"/>
      <c r="H693" s="1"/>
      <c r="I693" s="1"/>
      <c r="J693" s="1"/>
      <c r="K693" s="1"/>
    </row>
    <row r="694" spans="4:11" ht="15.75" customHeight="1" x14ac:dyDescent="0.25">
      <c r="D694" s="1"/>
      <c r="E694" s="2"/>
      <c r="F694" s="1"/>
      <c r="G694" s="1"/>
      <c r="H694" s="1"/>
      <c r="I694" s="1"/>
      <c r="J694" s="1"/>
      <c r="K694" s="1"/>
    </row>
    <row r="695" spans="4:11" ht="15.75" customHeight="1" x14ac:dyDescent="0.25">
      <c r="D695" s="1"/>
      <c r="E695" s="2"/>
      <c r="F695" s="1"/>
      <c r="G695" s="1"/>
      <c r="H695" s="1"/>
      <c r="I695" s="1"/>
      <c r="J695" s="1"/>
      <c r="K695" s="1"/>
    </row>
    <row r="696" spans="4:11" ht="15.75" customHeight="1" x14ac:dyDescent="0.25">
      <c r="D696" s="1"/>
      <c r="E696" s="2"/>
      <c r="F696" s="1"/>
      <c r="G696" s="1"/>
      <c r="H696" s="1"/>
      <c r="I696" s="1"/>
      <c r="J696" s="1"/>
      <c r="K696" s="1"/>
    </row>
    <row r="697" spans="4:11" ht="15.75" customHeight="1" x14ac:dyDescent="0.25">
      <c r="D697" s="1"/>
      <c r="E697" s="2"/>
      <c r="F697" s="1"/>
      <c r="G697" s="1"/>
      <c r="H697" s="1"/>
      <c r="I697" s="1"/>
      <c r="J697" s="1"/>
      <c r="K697" s="1"/>
    </row>
    <row r="698" spans="4:11" ht="15.75" customHeight="1" x14ac:dyDescent="0.25">
      <c r="D698" s="1"/>
      <c r="E698" s="2"/>
      <c r="F698" s="1"/>
      <c r="G698" s="1"/>
      <c r="H698" s="1"/>
      <c r="I698" s="1"/>
      <c r="J698" s="1"/>
      <c r="K698" s="1"/>
    </row>
    <row r="699" spans="4:11" ht="15.75" customHeight="1" x14ac:dyDescent="0.25">
      <c r="D699" s="1"/>
      <c r="E699" s="2"/>
      <c r="F699" s="1"/>
      <c r="G699" s="1"/>
      <c r="H699" s="1"/>
      <c r="I699" s="1"/>
      <c r="J699" s="1"/>
      <c r="K699" s="1"/>
    </row>
    <row r="700" spans="4:11" ht="15.75" customHeight="1" x14ac:dyDescent="0.25">
      <c r="D700" s="1"/>
      <c r="E700" s="2"/>
      <c r="F700" s="1"/>
      <c r="G700" s="1"/>
      <c r="H700" s="1"/>
      <c r="I700" s="1"/>
      <c r="J700" s="1"/>
      <c r="K700" s="1"/>
    </row>
    <row r="701" spans="4:11" ht="15.75" customHeight="1" x14ac:dyDescent="0.25">
      <c r="D701" s="1"/>
      <c r="E701" s="2"/>
      <c r="F701" s="1"/>
      <c r="G701" s="1"/>
      <c r="H701" s="1"/>
      <c r="I701" s="1"/>
      <c r="J701" s="1"/>
      <c r="K701" s="1"/>
    </row>
    <row r="702" spans="4:11" ht="15.75" customHeight="1" x14ac:dyDescent="0.25">
      <c r="D702" s="1"/>
      <c r="E702" s="2"/>
      <c r="F702" s="1"/>
      <c r="G702" s="1"/>
      <c r="H702" s="1"/>
      <c r="I702" s="1"/>
      <c r="J702" s="1"/>
      <c r="K702" s="1"/>
    </row>
    <row r="703" spans="4:11" ht="15.75" customHeight="1" x14ac:dyDescent="0.25">
      <c r="D703" s="1"/>
      <c r="E703" s="2"/>
      <c r="F703" s="1"/>
      <c r="G703" s="1"/>
      <c r="H703" s="1"/>
      <c r="I703" s="1"/>
      <c r="J703" s="1"/>
      <c r="K703" s="1"/>
    </row>
    <row r="704" spans="4:11" ht="15.75" customHeight="1" x14ac:dyDescent="0.25">
      <c r="D704" s="1"/>
      <c r="E704" s="2"/>
      <c r="F704" s="1"/>
      <c r="G704" s="1"/>
      <c r="H704" s="1"/>
      <c r="I704" s="1"/>
      <c r="J704" s="1"/>
      <c r="K704" s="1"/>
    </row>
    <row r="705" spans="4:11" ht="15.75" customHeight="1" x14ac:dyDescent="0.25">
      <c r="D705" s="1"/>
      <c r="E705" s="2"/>
      <c r="F705" s="1"/>
      <c r="G705" s="1"/>
      <c r="H705" s="1"/>
      <c r="I705" s="1"/>
      <c r="J705" s="1"/>
      <c r="K705" s="1"/>
    </row>
    <row r="706" spans="4:11" ht="15.75" customHeight="1" x14ac:dyDescent="0.25">
      <c r="D706" s="1"/>
      <c r="E706" s="2"/>
      <c r="F706" s="1"/>
      <c r="G706" s="1"/>
      <c r="H706" s="1"/>
      <c r="I706" s="1"/>
      <c r="J706" s="1"/>
      <c r="K706" s="1"/>
    </row>
    <row r="707" spans="4:11" ht="15.75" customHeight="1" x14ac:dyDescent="0.25">
      <c r="D707" s="1"/>
      <c r="E707" s="2"/>
      <c r="F707" s="1"/>
      <c r="G707" s="1"/>
      <c r="H707" s="1"/>
      <c r="I707" s="1"/>
      <c r="J707" s="1"/>
      <c r="K707" s="1"/>
    </row>
    <row r="708" spans="4:11" ht="15.75" customHeight="1" x14ac:dyDescent="0.25">
      <c r="D708" s="1"/>
      <c r="E708" s="2"/>
      <c r="F708" s="1"/>
      <c r="G708" s="1"/>
      <c r="H708" s="1"/>
      <c r="I708" s="1"/>
      <c r="J708" s="1"/>
      <c r="K708" s="1"/>
    </row>
    <row r="709" spans="4:11" ht="15.75" customHeight="1" x14ac:dyDescent="0.25">
      <c r="D709" s="1"/>
      <c r="E709" s="2"/>
      <c r="F709" s="1"/>
      <c r="G709" s="1"/>
      <c r="H709" s="1"/>
      <c r="I709" s="1"/>
      <c r="J709" s="1"/>
      <c r="K709" s="1"/>
    </row>
    <row r="710" spans="4:11" ht="15.75" customHeight="1" x14ac:dyDescent="0.25">
      <c r="D710" s="1"/>
      <c r="E710" s="2"/>
      <c r="F710" s="1"/>
      <c r="G710" s="1"/>
      <c r="H710" s="1"/>
      <c r="I710" s="1"/>
      <c r="J710" s="1"/>
      <c r="K710" s="1"/>
    </row>
    <row r="711" spans="4:11" ht="15.75" customHeight="1" x14ac:dyDescent="0.25">
      <c r="D711" s="1"/>
      <c r="E711" s="2"/>
      <c r="F711" s="1"/>
      <c r="G711" s="1"/>
      <c r="H711" s="1"/>
      <c r="I711" s="1"/>
      <c r="J711" s="1"/>
      <c r="K711" s="1"/>
    </row>
    <row r="712" spans="4:11" ht="15.75" customHeight="1" x14ac:dyDescent="0.25">
      <c r="D712" s="1"/>
      <c r="E712" s="2"/>
      <c r="F712" s="1"/>
      <c r="G712" s="1"/>
      <c r="H712" s="1"/>
      <c r="I712" s="1"/>
      <c r="J712" s="1"/>
      <c r="K712" s="1"/>
    </row>
    <row r="713" spans="4:11" ht="15.75" customHeight="1" x14ac:dyDescent="0.25">
      <c r="D713" s="1"/>
      <c r="E713" s="2"/>
      <c r="F713" s="1"/>
      <c r="G713" s="1"/>
      <c r="H713" s="1"/>
      <c r="I713" s="1"/>
      <c r="J713" s="1"/>
      <c r="K713" s="1"/>
    </row>
    <row r="714" spans="4:11" ht="15.75" customHeight="1" x14ac:dyDescent="0.25">
      <c r="D714" s="1"/>
      <c r="E714" s="2"/>
      <c r="F714" s="1"/>
      <c r="G714" s="1"/>
      <c r="H714" s="1"/>
      <c r="I714" s="1"/>
      <c r="J714" s="1"/>
      <c r="K714" s="1"/>
    </row>
    <row r="715" spans="4:11" ht="15.75" customHeight="1" x14ac:dyDescent="0.25">
      <c r="D715" s="1"/>
      <c r="E715" s="2"/>
      <c r="F715" s="1"/>
      <c r="G715" s="1"/>
      <c r="H715" s="1"/>
      <c r="I715" s="1"/>
      <c r="J715" s="1"/>
      <c r="K715" s="1"/>
    </row>
    <row r="716" spans="4:11" ht="15.75" customHeight="1" x14ac:dyDescent="0.25">
      <c r="D716" s="1"/>
      <c r="E716" s="2"/>
      <c r="F716" s="1"/>
      <c r="G716" s="1"/>
      <c r="H716" s="1"/>
      <c r="I716" s="1"/>
      <c r="J716" s="1"/>
      <c r="K716" s="1"/>
    </row>
    <row r="717" spans="4:11" ht="15.75" customHeight="1" x14ac:dyDescent="0.25">
      <c r="D717" s="1"/>
      <c r="E717" s="2"/>
      <c r="F717" s="1"/>
      <c r="G717" s="1"/>
      <c r="H717" s="1"/>
      <c r="I717" s="1"/>
      <c r="J717" s="1"/>
      <c r="K717" s="1"/>
    </row>
    <row r="718" spans="4:11" ht="15.75" customHeight="1" x14ac:dyDescent="0.25">
      <c r="D718" s="1"/>
      <c r="E718" s="2"/>
      <c r="F718" s="1"/>
      <c r="G718" s="1"/>
      <c r="H718" s="1"/>
      <c r="I718" s="1"/>
      <c r="J718" s="1"/>
      <c r="K718" s="1"/>
    </row>
    <row r="719" spans="4:11" ht="15.75" customHeight="1" x14ac:dyDescent="0.25">
      <c r="D719" s="1"/>
      <c r="E719" s="2"/>
      <c r="F719" s="1"/>
      <c r="G719" s="1"/>
      <c r="H719" s="1"/>
      <c r="I719" s="1"/>
      <c r="J719" s="1"/>
      <c r="K719" s="1"/>
    </row>
    <row r="720" spans="4:11" ht="15.75" customHeight="1" x14ac:dyDescent="0.25">
      <c r="D720" s="1"/>
      <c r="E720" s="2"/>
      <c r="F720" s="1"/>
      <c r="G720" s="1"/>
      <c r="H720" s="1"/>
      <c r="I720" s="1"/>
      <c r="J720" s="1"/>
      <c r="K720" s="1"/>
    </row>
    <row r="721" spans="4:11" ht="15.75" customHeight="1" x14ac:dyDescent="0.25">
      <c r="D721" s="1"/>
      <c r="E721" s="2"/>
      <c r="F721" s="1"/>
      <c r="G721" s="1"/>
      <c r="H721" s="1"/>
      <c r="I721" s="1"/>
      <c r="J721" s="1"/>
      <c r="K721" s="1"/>
    </row>
    <row r="722" spans="4:11" ht="15.75" customHeight="1" x14ac:dyDescent="0.25">
      <c r="D722" s="1"/>
      <c r="E722" s="2"/>
      <c r="F722" s="1"/>
      <c r="G722" s="1"/>
      <c r="H722" s="1"/>
      <c r="I722" s="1"/>
      <c r="J722" s="1"/>
      <c r="K722" s="1"/>
    </row>
    <row r="723" spans="4:11" ht="15.75" customHeight="1" x14ac:dyDescent="0.25">
      <c r="D723" s="1"/>
      <c r="E723" s="2"/>
      <c r="F723" s="1"/>
      <c r="G723" s="1"/>
      <c r="H723" s="1"/>
      <c r="I723" s="1"/>
      <c r="J723" s="1"/>
      <c r="K723" s="1"/>
    </row>
    <row r="724" spans="4:11" ht="15.75" customHeight="1" x14ac:dyDescent="0.25">
      <c r="D724" s="1"/>
      <c r="E724" s="2"/>
      <c r="F724" s="1"/>
      <c r="G724" s="1"/>
      <c r="H724" s="1"/>
      <c r="I724" s="1"/>
      <c r="J724" s="1"/>
      <c r="K724" s="1"/>
    </row>
    <row r="725" spans="4:11" ht="15.75" customHeight="1" x14ac:dyDescent="0.25">
      <c r="D725" s="1"/>
      <c r="E725" s="2"/>
      <c r="F725" s="1"/>
      <c r="G725" s="1"/>
      <c r="H725" s="1"/>
      <c r="I725" s="1"/>
      <c r="J725" s="1"/>
      <c r="K725" s="1"/>
    </row>
    <row r="726" spans="4:11" ht="15.75" customHeight="1" x14ac:dyDescent="0.25">
      <c r="D726" s="1"/>
      <c r="E726" s="2"/>
      <c r="F726" s="1"/>
      <c r="G726" s="1"/>
      <c r="H726" s="1"/>
      <c r="I726" s="1"/>
      <c r="J726" s="1"/>
      <c r="K726" s="1"/>
    </row>
    <row r="727" spans="4:11" ht="15.75" customHeight="1" x14ac:dyDescent="0.25">
      <c r="D727" s="1"/>
      <c r="E727" s="2"/>
      <c r="F727" s="1"/>
      <c r="G727" s="1"/>
      <c r="H727" s="1"/>
      <c r="I727" s="1"/>
      <c r="J727" s="1"/>
      <c r="K727" s="1"/>
    </row>
    <row r="728" spans="4:11" ht="15.75" customHeight="1" x14ac:dyDescent="0.25">
      <c r="D728" s="1"/>
      <c r="E728" s="2"/>
      <c r="F728" s="1"/>
      <c r="G728" s="1"/>
      <c r="H728" s="1"/>
      <c r="I728" s="1"/>
      <c r="J728" s="1"/>
      <c r="K728" s="1"/>
    </row>
    <row r="729" spans="4:11" ht="15.75" customHeight="1" x14ac:dyDescent="0.25">
      <c r="D729" s="1"/>
      <c r="E729" s="2"/>
      <c r="F729" s="1"/>
      <c r="G729" s="1"/>
      <c r="H729" s="1"/>
      <c r="I729" s="1"/>
      <c r="J729" s="1"/>
      <c r="K729" s="1"/>
    </row>
    <row r="730" spans="4:11" ht="15.75" customHeight="1" x14ac:dyDescent="0.25">
      <c r="D730" s="1"/>
      <c r="E730" s="2"/>
      <c r="F730" s="1"/>
      <c r="G730" s="1"/>
      <c r="H730" s="1"/>
      <c r="I730" s="1"/>
      <c r="J730" s="1"/>
      <c r="K730" s="1"/>
    </row>
    <row r="731" spans="4:11" ht="15.75" customHeight="1" x14ac:dyDescent="0.25">
      <c r="D731" s="1"/>
      <c r="E731" s="2"/>
      <c r="F731" s="1"/>
      <c r="G731" s="1"/>
      <c r="H731" s="1"/>
      <c r="I731" s="1"/>
      <c r="J731" s="1"/>
      <c r="K731" s="1"/>
    </row>
    <row r="732" spans="4:11" ht="15.75" customHeight="1" x14ac:dyDescent="0.25">
      <c r="D732" s="1"/>
      <c r="E732" s="2"/>
      <c r="F732" s="1"/>
      <c r="G732" s="1"/>
      <c r="H732" s="1"/>
      <c r="I732" s="1"/>
      <c r="J732" s="1"/>
      <c r="K732" s="1"/>
    </row>
    <row r="733" spans="4:11" ht="15.75" customHeight="1" x14ac:dyDescent="0.25">
      <c r="D733" s="1"/>
      <c r="E733" s="2"/>
      <c r="F733" s="1"/>
      <c r="G733" s="1"/>
      <c r="H733" s="1"/>
      <c r="I733" s="1"/>
      <c r="J733" s="1"/>
      <c r="K733" s="1"/>
    </row>
    <row r="734" spans="4:11" ht="15.75" customHeight="1" x14ac:dyDescent="0.25">
      <c r="D734" s="1"/>
      <c r="E734" s="2"/>
      <c r="F734" s="1"/>
      <c r="G734" s="1"/>
      <c r="H734" s="1"/>
      <c r="I734" s="1"/>
      <c r="J734" s="1"/>
      <c r="K734" s="1"/>
    </row>
    <row r="735" spans="4:11" ht="15.75" customHeight="1" x14ac:dyDescent="0.25">
      <c r="D735" s="1"/>
      <c r="E735" s="2"/>
      <c r="F735" s="1"/>
      <c r="G735" s="1"/>
      <c r="H735" s="1"/>
      <c r="I735" s="1"/>
      <c r="J735" s="1"/>
      <c r="K735" s="1"/>
    </row>
    <row r="736" spans="4:11" ht="15.75" customHeight="1" x14ac:dyDescent="0.25">
      <c r="D736" s="1"/>
      <c r="E736" s="2"/>
      <c r="F736" s="1"/>
      <c r="G736" s="1"/>
      <c r="H736" s="1"/>
      <c r="I736" s="1"/>
      <c r="J736" s="1"/>
      <c r="K736" s="1"/>
    </row>
    <row r="737" spans="4:11" ht="15.75" customHeight="1" x14ac:dyDescent="0.25">
      <c r="D737" s="1"/>
      <c r="E737" s="2"/>
      <c r="F737" s="1"/>
      <c r="G737" s="1"/>
      <c r="H737" s="1"/>
      <c r="I737" s="1"/>
      <c r="J737" s="1"/>
      <c r="K737" s="1"/>
    </row>
    <row r="738" spans="4:11" ht="15.75" customHeight="1" x14ac:dyDescent="0.25">
      <c r="D738" s="1"/>
      <c r="E738" s="2"/>
      <c r="F738" s="1"/>
      <c r="G738" s="1"/>
      <c r="H738" s="1"/>
      <c r="I738" s="1"/>
      <c r="J738" s="1"/>
      <c r="K738" s="1"/>
    </row>
    <row r="739" spans="4:11" ht="15.75" customHeight="1" x14ac:dyDescent="0.25">
      <c r="D739" s="1"/>
      <c r="E739" s="2"/>
      <c r="F739" s="1"/>
      <c r="G739" s="1"/>
      <c r="H739" s="1"/>
      <c r="I739" s="1"/>
      <c r="J739" s="1"/>
      <c r="K739" s="1"/>
    </row>
    <row r="740" spans="4:11" ht="15.75" customHeight="1" x14ac:dyDescent="0.25">
      <c r="D740" s="1"/>
      <c r="E740" s="2"/>
      <c r="F740" s="1"/>
      <c r="G740" s="1"/>
      <c r="H740" s="1"/>
      <c r="I740" s="1"/>
      <c r="J740" s="1"/>
      <c r="K740" s="1"/>
    </row>
    <row r="741" spans="4:11" ht="15.75" customHeight="1" x14ac:dyDescent="0.25">
      <c r="D741" s="1"/>
      <c r="E741" s="2"/>
      <c r="F741" s="1"/>
      <c r="G741" s="1"/>
      <c r="H741" s="1"/>
      <c r="I741" s="1"/>
      <c r="J741" s="1"/>
      <c r="K741" s="1"/>
    </row>
    <row r="742" spans="4:11" ht="15.75" customHeight="1" x14ac:dyDescent="0.25">
      <c r="D742" s="1"/>
      <c r="E742" s="2"/>
      <c r="F742" s="1"/>
      <c r="G742" s="1"/>
      <c r="H742" s="1"/>
      <c r="I742" s="1"/>
      <c r="J742" s="1"/>
      <c r="K742" s="1"/>
    </row>
    <row r="743" spans="4:11" ht="15.75" customHeight="1" x14ac:dyDescent="0.25">
      <c r="D743" s="1"/>
      <c r="E743" s="2"/>
      <c r="F743" s="1"/>
      <c r="G743" s="1"/>
      <c r="H743" s="1"/>
      <c r="I743" s="1"/>
      <c r="J743" s="1"/>
      <c r="K743" s="1"/>
    </row>
    <row r="744" spans="4:11" ht="15.75" customHeight="1" x14ac:dyDescent="0.25">
      <c r="D744" s="1"/>
      <c r="E744" s="2"/>
      <c r="F744" s="1"/>
      <c r="G744" s="1"/>
      <c r="H744" s="1"/>
      <c r="I744" s="1"/>
      <c r="J744" s="1"/>
      <c r="K744" s="1"/>
    </row>
    <row r="745" spans="4:11" ht="15.75" customHeight="1" x14ac:dyDescent="0.25">
      <c r="D745" s="1"/>
      <c r="E745" s="2"/>
      <c r="F745" s="1"/>
      <c r="G745" s="1"/>
      <c r="H745" s="1"/>
      <c r="I745" s="1"/>
      <c r="J745" s="1"/>
      <c r="K745" s="1"/>
    </row>
    <row r="746" spans="4:11" ht="15.75" customHeight="1" x14ac:dyDescent="0.25">
      <c r="D746" s="1"/>
      <c r="E746" s="2"/>
      <c r="F746" s="1"/>
      <c r="G746" s="1"/>
      <c r="H746" s="1"/>
      <c r="I746" s="1"/>
      <c r="J746" s="1"/>
      <c r="K746" s="1"/>
    </row>
    <row r="747" spans="4:11" ht="15.75" customHeight="1" x14ac:dyDescent="0.25">
      <c r="D747" s="1"/>
      <c r="E747" s="2"/>
      <c r="F747" s="1"/>
      <c r="G747" s="1"/>
      <c r="H747" s="1"/>
      <c r="I747" s="1"/>
      <c r="J747" s="1"/>
      <c r="K747" s="1"/>
    </row>
    <row r="748" spans="4:11" ht="15.75" customHeight="1" x14ac:dyDescent="0.25">
      <c r="D748" s="1"/>
      <c r="E748" s="2"/>
      <c r="F748" s="1"/>
      <c r="G748" s="1"/>
      <c r="H748" s="1"/>
      <c r="I748" s="1"/>
      <c r="J748" s="1"/>
      <c r="K748" s="1"/>
    </row>
    <row r="749" spans="4:11" ht="15.75" customHeight="1" x14ac:dyDescent="0.25">
      <c r="D749" s="1"/>
      <c r="E749" s="2"/>
      <c r="F749" s="1"/>
      <c r="G749" s="1"/>
      <c r="H749" s="1"/>
      <c r="I749" s="1"/>
      <c r="J749" s="1"/>
      <c r="K749" s="1"/>
    </row>
    <row r="750" spans="4:11" ht="15.75" customHeight="1" x14ac:dyDescent="0.25">
      <c r="D750" s="1"/>
      <c r="E750" s="2"/>
      <c r="F750" s="1"/>
      <c r="G750" s="1"/>
      <c r="H750" s="1"/>
      <c r="I750" s="1"/>
      <c r="J750" s="1"/>
      <c r="K750" s="1"/>
    </row>
    <row r="751" spans="4:11" ht="15.75" customHeight="1" x14ac:dyDescent="0.25">
      <c r="D751" s="1"/>
      <c r="E751" s="2"/>
      <c r="F751" s="1"/>
      <c r="G751" s="1"/>
      <c r="H751" s="1"/>
      <c r="I751" s="1"/>
      <c r="J751" s="1"/>
      <c r="K751" s="1"/>
    </row>
    <row r="752" spans="4:11" ht="15.75" customHeight="1" x14ac:dyDescent="0.25">
      <c r="D752" s="1"/>
      <c r="E752" s="2"/>
      <c r="F752" s="1"/>
      <c r="G752" s="1"/>
      <c r="H752" s="1"/>
      <c r="I752" s="1"/>
      <c r="J752" s="1"/>
      <c r="K752" s="1"/>
    </row>
    <row r="753" spans="4:11" ht="15.75" customHeight="1" x14ac:dyDescent="0.25">
      <c r="D753" s="1"/>
      <c r="E753" s="2"/>
      <c r="F753" s="1"/>
      <c r="G753" s="1"/>
      <c r="H753" s="1"/>
      <c r="I753" s="1"/>
      <c r="J753" s="1"/>
      <c r="K753" s="1"/>
    </row>
    <row r="754" spans="4:11" ht="15.75" customHeight="1" x14ac:dyDescent="0.25">
      <c r="D754" s="1"/>
      <c r="E754" s="2"/>
      <c r="F754" s="1"/>
      <c r="G754" s="1"/>
      <c r="H754" s="1"/>
      <c r="I754" s="1"/>
      <c r="J754" s="1"/>
      <c r="K754" s="1"/>
    </row>
    <row r="755" spans="4:11" ht="15.75" customHeight="1" x14ac:dyDescent="0.25">
      <c r="D755" s="1"/>
      <c r="E755" s="2"/>
      <c r="F755" s="1"/>
      <c r="G755" s="1"/>
      <c r="H755" s="1"/>
      <c r="I755" s="1"/>
      <c r="J755" s="1"/>
      <c r="K755" s="1"/>
    </row>
    <row r="756" spans="4:11" ht="15.75" customHeight="1" x14ac:dyDescent="0.25">
      <c r="D756" s="1"/>
      <c r="E756" s="2"/>
      <c r="F756" s="1"/>
      <c r="G756" s="1"/>
      <c r="H756" s="1"/>
      <c r="I756" s="1"/>
      <c r="J756" s="1"/>
      <c r="K756" s="1"/>
    </row>
    <row r="757" spans="4:11" ht="15.75" customHeight="1" x14ac:dyDescent="0.25">
      <c r="D757" s="1"/>
      <c r="E757" s="2"/>
      <c r="F757" s="1"/>
      <c r="G757" s="1"/>
      <c r="H757" s="1"/>
      <c r="I757" s="1"/>
      <c r="J757" s="1"/>
      <c r="K757" s="1"/>
    </row>
    <row r="758" spans="4:11" ht="15.75" customHeight="1" x14ac:dyDescent="0.25">
      <c r="D758" s="1"/>
      <c r="E758" s="2"/>
      <c r="F758" s="1"/>
      <c r="G758" s="1"/>
      <c r="H758" s="1"/>
      <c r="I758" s="1"/>
      <c r="J758" s="1"/>
      <c r="K758" s="1"/>
    </row>
    <row r="759" spans="4:11" ht="15.75" customHeight="1" x14ac:dyDescent="0.25">
      <c r="D759" s="1"/>
      <c r="E759" s="2"/>
      <c r="F759" s="1"/>
      <c r="G759" s="1"/>
      <c r="H759" s="1"/>
      <c r="I759" s="1"/>
      <c r="J759" s="1"/>
      <c r="K759" s="1"/>
    </row>
    <row r="760" spans="4:11" ht="15.75" customHeight="1" x14ac:dyDescent="0.25">
      <c r="D760" s="1"/>
      <c r="E760" s="2"/>
      <c r="F760" s="1"/>
      <c r="G760" s="1"/>
      <c r="H760" s="1"/>
      <c r="I760" s="1"/>
      <c r="J760" s="1"/>
      <c r="K760" s="1"/>
    </row>
    <row r="761" spans="4:11" ht="15.75" customHeight="1" x14ac:dyDescent="0.25">
      <c r="D761" s="1"/>
      <c r="E761" s="2"/>
      <c r="F761" s="1"/>
      <c r="G761" s="1"/>
      <c r="H761" s="1"/>
      <c r="I761" s="1"/>
      <c r="J761" s="1"/>
      <c r="K761" s="1"/>
    </row>
    <row r="762" spans="4:11" ht="15.75" customHeight="1" x14ac:dyDescent="0.25">
      <c r="D762" s="1"/>
      <c r="E762" s="2"/>
      <c r="F762" s="1"/>
      <c r="G762" s="1"/>
      <c r="H762" s="1"/>
      <c r="I762" s="1"/>
      <c r="J762" s="1"/>
      <c r="K762" s="1"/>
    </row>
    <row r="763" spans="4:11" ht="15.75" customHeight="1" x14ac:dyDescent="0.25">
      <c r="D763" s="1"/>
      <c r="E763" s="2"/>
      <c r="F763" s="1"/>
      <c r="G763" s="1"/>
      <c r="H763" s="1"/>
      <c r="I763" s="1"/>
      <c r="J763" s="1"/>
      <c r="K763" s="1"/>
    </row>
    <row r="764" spans="4:11" ht="15.75" customHeight="1" x14ac:dyDescent="0.25">
      <c r="D764" s="1"/>
      <c r="E764" s="2"/>
      <c r="F764" s="1"/>
      <c r="G764" s="1"/>
      <c r="H764" s="1"/>
      <c r="I764" s="1"/>
      <c r="J764" s="1"/>
      <c r="K764" s="1"/>
    </row>
    <row r="765" spans="4:11" ht="15.75" customHeight="1" x14ac:dyDescent="0.25">
      <c r="D765" s="1"/>
      <c r="E765" s="2"/>
      <c r="F765" s="1"/>
      <c r="G765" s="1"/>
      <c r="H765" s="1"/>
      <c r="I765" s="1"/>
      <c r="J765" s="1"/>
      <c r="K765" s="1"/>
    </row>
    <row r="766" spans="4:11" ht="15.75" customHeight="1" x14ac:dyDescent="0.25">
      <c r="D766" s="1"/>
      <c r="E766" s="2"/>
      <c r="F766" s="1"/>
      <c r="G766" s="1"/>
      <c r="H766" s="1"/>
      <c r="I766" s="1"/>
      <c r="J766" s="1"/>
      <c r="K766" s="1"/>
    </row>
    <row r="767" spans="4:11" ht="15.75" customHeight="1" x14ac:dyDescent="0.25">
      <c r="D767" s="1"/>
      <c r="E767" s="2"/>
      <c r="F767" s="1"/>
      <c r="G767" s="1"/>
      <c r="H767" s="1"/>
      <c r="I767" s="1"/>
      <c r="J767" s="1"/>
      <c r="K767" s="1"/>
    </row>
    <row r="768" spans="4:11" ht="15.75" customHeight="1" x14ac:dyDescent="0.25">
      <c r="D768" s="1"/>
      <c r="E768" s="2"/>
      <c r="F768" s="1"/>
      <c r="G768" s="1"/>
      <c r="H768" s="1"/>
      <c r="I768" s="1"/>
      <c r="J768" s="1"/>
      <c r="K768" s="1"/>
    </row>
    <row r="769" spans="4:11" ht="15.75" customHeight="1" x14ac:dyDescent="0.25">
      <c r="D769" s="1"/>
      <c r="E769" s="2"/>
      <c r="F769" s="1"/>
      <c r="G769" s="1"/>
      <c r="H769" s="1"/>
      <c r="I769" s="1"/>
      <c r="J769" s="1"/>
      <c r="K769" s="1"/>
    </row>
    <row r="770" spans="4:11" ht="15.75" customHeight="1" x14ac:dyDescent="0.25">
      <c r="D770" s="1"/>
      <c r="E770" s="2"/>
      <c r="F770" s="1"/>
      <c r="G770" s="1"/>
      <c r="H770" s="1"/>
      <c r="I770" s="1"/>
      <c r="J770" s="1"/>
      <c r="K770" s="1"/>
    </row>
    <row r="771" spans="4:11" ht="15.75" customHeight="1" x14ac:dyDescent="0.25">
      <c r="D771" s="1"/>
      <c r="E771" s="2"/>
      <c r="F771" s="1"/>
      <c r="G771" s="1"/>
      <c r="H771" s="1"/>
      <c r="I771" s="1"/>
      <c r="J771" s="1"/>
      <c r="K771" s="1"/>
    </row>
    <row r="772" spans="4:11" ht="15.75" customHeight="1" x14ac:dyDescent="0.25">
      <c r="D772" s="1"/>
      <c r="E772" s="2"/>
      <c r="F772" s="1"/>
      <c r="G772" s="1"/>
      <c r="H772" s="1"/>
      <c r="I772" s="1"/>
      <c r="J772" s="1"/>
      <c r="K772" s="1"/>
    </row>
    <row r="773" spans="4:11" ht="15.75" customHeight="1" x14ac:dyDescent="0.25">
      <c r="D773" s="1"/>
      <c r="E773" s="2"/>
      <c r="F773" s="1"/>
      <c r="G773" s="1"/>
      <c r="H773" s="1"/>
      <c r="I773" s="1"/>
      <c r="J773" s="1"/>
      <c r="K773" s="1"/>
    </row>
    <row r="774" spans="4:11" ht="15.75" customHeight="1" x14ac:dyDescent="0.25">
      <c r="D774" s="1"/>
      <c r="E774" s="2"/>
      <c r="F774" s="1"/>
      <c r="G774" s="1"/>
      <c r="H774" s="1"/>
      <c r="I774" s="1"/>
      <c r="J774" s="1"/>
      <c r="K774" s="1"/>
    </row>
    <row r="775" spans="4:11" ht="15.75" customHeight="1" x14ac:dyDescent="0.25">
      <c r="D775" s="1"/>
      <c r="E775" s="2"/>
      <c r="F775" s="1"/>
      <c r="G775" s="1"/>
      <c r="H775" s="1"/>
      <c r="I775" s="1"/>
      <c r="J775" s="1"/>
      <c r="K775" s="1"/>
    </row>
    <row r="776" spans="4:11" ht="15.75" customHeight="1" x14ac:dyDescent="0.25">
      <c r="D776" s="1"/>
      <c r="E776" s="2"/>
      <c r="F776" s="1"/>
      <c r="G776" s="1"/>
      <c r="H776" s="1"/>
      <c r="I776" s="1"/>
      <c r="J776" s="1"/>
      <c r="K776" s="1"/>
    </row>
    <row r="777" spans="4:11" ht="15.75" customHeight="1" x14ac:dyDescent="0.25">
      <c r="D777" s="1"/>
      <c r="E777" s="2"/>
      <c r="F777" s="1"/>
      <c r="G777" s="1"/>
      <c r="H777" s="1"/>
      <c r="I777" s="1"/>
      <c r="J777" s="1"/>
      <c r="K777" s="1"/>
    </row>
    <row r="778" spans="4:11" ht="15.75" customHeight="1" x14ac:dyDescent="0.25">
      <c r="D778" s="1"/>
      <c r="E778" s="2"/>
      <c r="F778" s="1"/>
      <c r="G778" s="1"/>
      <c r="H778" s="1"/>
      <c r="I778" s="1"/>
      <c r="J778" s="1"/>
      <c r="K778" s="1"/>
    </row>
    <row r="779" spans="4:11" ht="15.75" customHeight="1" x14ac:dyDescent="0.25">
      <c r="D779" s="1"/>
      <c r="E779" s="2"/>
      <c r="F779" s="1"/>
      <c r="G779" s="1"/>
      <c r="H779" s="1"/>
      <c r="I779" s="1"/>
      <c r="J779" s="1"/>
      <c r="K779" s="1"/>
    </row>
    <row r="780" spans="4:11" ht="15.75" customHeight="1" x14ac:dyDescent="0.25">
      <c r="D780" s="1"/>
      <c r="E780" s="2"/>
      <c r="F780" s="1"/>
      <c r="G780" s="1"/>
      <c r="H780" s="1"/>
      <c r="I780" s="1"/>
      <c r="J780" s="1"/>
      <c r="K780" s="1"/>
    </row>
    <row r="781" spans="4:11" ht="15.75" customHeight="1" x14ac:dyDescent="0.25">
      <c r="D781" s="1"/>
      <c r="E781" s="2"/>
      <c r="F781" s="1"/>
      <c r="G781" s="1"/>
      <c r="H781" s="1"/>
      <c r="I781" s="1"/>
      <c r="J781" s="1"/>
      <c r="K781" s="1"/>
    </row>
    <row r="782" spans="4:11" ht="15.75" customHeight="1" x14ac:dyDescent="0.25">
      <c r="D782" s="1"/>
      <c r="E782" s="2"/>
      <c r="F782" s="1"/>
      <c r="G782" s="1"/>
      <c r="H782" s="1"/>
      <c r="I782" s="1"/>
      <c r="J782" s="1"/>
      <c r="K782" s="1"/>
    </row>
    <row r="783" spans="4:11" ht="15.75" customHeight="1" x14ac:dyDescent="0.25">
      <c r="D783" s="1"/>
      <c r="E783" s="2"/>
      <c r="F783" s="1"/>
      <c r="G783" s="1"/>
      <c r="H783" s="1"/>
      <c r="I783" s="1"/>
      <c r="J783" s="1"/>
      <c r="K783" s="1"/>
    </row>
    <row r="784" spans="4:11" ht="15.75" customHeight="1" x14ac:dyDescent="0.25">
      <c r="D784" s="1"/>
      <c r="E784" s="2"/>
      <c r="F784" s="1"/>
      <c r="G784" s="1"/>
      <c r="H784" s="1"/>
      <c r="I784" s="1"/>
      <c r="J784" s="1"/>
      <c r="K784" s="1"/>
    </row>
    <row r="785" spans="4:11" ht="15.75" customHeight="1" x14ac:dyDescent="0.25">
      <c r="D785" s="1"/>
      <c r="E785" s="2"/>
      <c r="F785" s="1"/>
      <c r="G785" s="1"/>
      <c r="H785" s="1"/>
      <c r="I785" s="1"/>
      <c r="J785" s="1"/>
      <c r="K785" s="1"/>
    </row>
    <row r="786" spans="4:11" ht="15.75" customHeight="1" x14ac:dyDescent="0.25">
      <c r="D786" s="1"/>
      <c r="E786" s="2"/>
      <c r="F786" s="1"/>
      <c r="G786" s="1"/>
      <c r="H786" s="1"/>
      <c r="I786" s="1"/>
      <c r="J786" s="1"/>
      <c r="K786" s="1"/>
    </row>
    <row r="787" spans="4:11" ht="15.75" customHeight="1" x14ac:dyDescent="0.25">
      <c r="D787" s="1"/>
      <c r="E787" s="2"/>
      <c r="F787" s="1"/>
      <c r="G787" s="1"/>
      <c r="H787" s="1"/>
      <c r="I787" s="1"/>
      <c r="J787" s="1"/>
      <c r="K787" s="1"/>
    </row>
    <row r="788" spans="4:11" ht="15.75" customHeight="1" x14ac:dyDescent="0.25">
      <c r="D788" s="1"/>
      <c r="E788" s="2"/>
      <c r="F788" s="1"/>
      <c r="G788" s="1"/>
      <c r="H788" s="1"/>
      <c r="I788" s="1"/>
      <c r="J788" s="1"/>
      <c r="K788" s="1"/>
    </row>
    <row r="789" spans="4:11" ht="15.75" customHeight="1" x14ac:dyDescent="0.25">
      <c r="D789" s="1"/>
      <c r="E789" s="2"/>
      <c r="F789" s="1"/>
      <c r="G789" s="1"/>
      <c r="H789" s="1"/>
      <c r="I789" s="1"/>
      <c r="J789" s="1"/>
      <c r="K789" s="1"/>
    </row>
    <row r="790" spans="4:11" ht="15.75" customHeight="1" x14ac:dyDescent="0.25">
      <c r="D790" s="1"/>
      <c r="E790" s="2"/>
      <c r="F790" s="1"/>
      <c r="G790" s="1"/>
      <c r="H790" s="1"/>
      <c r="I790" s="1"/>
      <c r="J790" s="1"/>
      <c r="K790" s="1"/>
    </row>
    <row r="791" spans="4:11" ht="15.75" customHeight="1" x14ac:dyDescent="0.25">
      <c r="D791" s="1"/>
      <c r="E791" s="2"/>
      <c r="F791" s="1"/>
      <c r="G791" s="1"/>
      <c r="H791" s="1"/>
      <c r="I791" s="1"/>
      <c r="J791" s="1"/>
      <c r="K791" s="1"/>
    </row>
    <row r="792" spans="4:11" ht="15.75" customHeight="1" x14ac:dyDescent="0.25">
      <c r="D792" s="1"/>
      <c r="E792" s="2"/>
      <c r="F792" s="1"/>
      <c r="G792" s="1"/>
      <c r="H792" s="1"/>
      <c r="I792" s="1"/>
      <c r="J792" s="1"/>
      <c r="K792" s="1"/>
    </row>
    <row r="793" spans="4:11" ht="15.75" customHeight="1" x14ac:dyDescent="0.25">
      <c r="D793" s="1"/>
      <c r="E793" s="2"/>
      <c r="F793" s="1"/>
      <c r="G793" s="1"/>
      <c r="H793" s="1"/>
      <c r="I793" s="1"/>
      <c r="J793" s="1"/>
      <c r="K793" s="1"/>
    </row>
    <row r="794" spans="4:11" ht="15.75" customHeight="1" x14ac:dyDescent="0.25">
      <c r="D794" s="1"/>
      <c r="E794" s="2"/>
      <c r="F794" s="1"/>
      <c r="G794" s="1"/>
      <c r="H794" s="1"/>
      <c r="I794" s="1"/>
      <c r="J794" s="1"/>
      <c r="K794" s="1"/>
    </row>
    <row r="795" spans="4:11" ht="15.75" customHeight="1" x14ac:dyDescent="0.25">
      <c r="D795" s="1"/>
      <c r="E795" s="2"/>
      <c r="F795" s="1"/>
      <c r="G795" s="1"/>
      <c r="H795" s="1"/>
      <c r="I795" s="1"/>
      <c r="J795" s="1"/>
      <c r="K795" s="1"/>
    </row>
    <row r="796" spans="4:11" ht="15.75" customHeight="1" x14ac:dyDescent="0.25">
      <c r="D796" s="1"/>
      <c r="E796" s="2"/>
      <c r="F796" s="1"/>
      <c r="G796" s="1"/>
      <c r="H796" s="1"/>
      <c r="I796" s="1"/>
      <c r="J796" s="1"/>
      <c r="K796" s="1"/>
    </row>
    <row r="797" spans="4:11" ht="15.75" customHeight="1" x14ac:dyDescent="0.25">
      <c r="D797" s="1"/>
      <c r="E797" s="2"/>
      <c r="F797" s="1"/>
      <c r="G797" s="1"/>
      <c r="H797" s="1"/>
      <c r="I797" s="1"/>
      <c r="J797" s="1"/>
      <c r="K797" s="1"/>
    </row>
    <row r="798" spans="4:11" ht="15.75" customHeight="1" x14ac:dyDescent="0.25">
      <c r="D798" s="1"/>
      <c r="E798" s="2"/>
      <c r="F798" s="1"/>
      <c r="G798" s="1"/>
      <c r="H798" s="1"/>
      <c r="I798" s="1"/>
      <c r="J798" s="1"/>
      <c r="K798" s="1"/>
    </row>
    <row r="799" spans="4:11" ht="15.75" customHeight="1" x14ac:dyDescent="0.25">
      <c r="D799" s="1"/>
      <c r="E799" s="2"/>
      <c r="F799" s="1"/>
      <c r="G799" s="1"/>
      <c r="H799" s="1"/>
      <c r="I799" s="1"/>
      <c r="J799" s="1"/>
      <c r="K799" s="1"/>
    </row>
    <row r="800" spans="4:11" ht="15.75" customHeight="1" x14ac:dyDescent="0.25">
      <c r="D800" s="1"/>
      <c r="E800" s="2"/>
      <c r="F800" s="1"/>
      <c r="G800" s="1"/>
      <c r="H800" s="1"/>
      <c r="I800" s="1"/>
      <c r="J800" s="1"/>
      <c r="K800" s="1"/>
    </row>
    <row r="801" spans="4:11" ht="15.75" customHeight="1" x14ac:dyDescent="0.25">
      <c r="D801" s="1"/>
      <c r="E801" s="2"/>
      <c r="F801" s="1"/>
      <c r="G801" s="1"/>
      <c r="H801" s="1"/>
      <c r="I801" s="1"/>
      <c r="J801" s="1"/>
      <c r="K801" s="1"/>
    </row>
    <row r="802" spans="4:11" ht="15.75" customHeight="1" x14ac:dyDescent="0.25">
      <c r="D802" s="1"/>
      <c r="E802" s="2"/>
      <c r="F802" s="1"/>
      <c r="G802" s="1"/>
      <c r="H802" s="1"/>
      <c r="I802" s="1"/>
      <c r="J802" s="1"/>
      <c r="K802" s="1"/>
    </row>
    <row r="803" spans="4:11" ht="15.75" customHeight="1" x14ac:dyDescent="0.25">
      <c r="D803" s="1"/>
      <c r="E803" s="2"/>
      <c r="F803" s="1"/>
      <c r="G803" s="1"/>
      <c r="H803" s="1"/>
      <c r="I803" s="1"/>
      <c r="J803" s="1"/>
      <c r="K803" s="1"/>
    </row>
    <row r="804" spans="4:11" ht="15.75" customHeight="1" x14ac:dyDescent="0.25">
      <c r="D804" s="1"/>
      <c r="E804" s="2"/>
      <c r="F804" s="1"/>
      <c r="G804" s="1"/>
      <c r="H804" s="1"/>
      <c r="I804" s="1"/>
      <c r="J804" s="1"/>
      <c r="K804" s="1"/>
    </row>
    <row r="805" spans="4:11" ht="15.75" customHeight="1" x14ac:dyDescent="0.25">
      <c r="D805" s="1"/>
      <c r="E805" s="2"/>
      <c r="F805" s="1"/>
      <c r="G805" s="1"/>
      <c r="H805" s="1"/>
      <c r="I805" s="1"/>
      <c r="J805" s="1"/>
      <c r="K805" s="1"/>
    </row>
    <row r="806" spans="4:11" ht="15.75" customHeight="1" x14ac:dyDescent="0.25">
      <c r="D806" s="1"/>
      <c r="E806" s="2"/>
      <c r="F806" s="1"/>
      <c r="G806" s="1"/>
      <c r="H806" s="1"/>
      <c r="I806" s="1"/>
      <c r="J806" s="1"/>
      <c r="K806" s="1"/>
    </row>
    <row r="807" spans="4:11" ht="15.75" customHeight="1" x14ac:dyDescent="0.25">
      <c r="D807" s="1"/>
      <c r="E807" s="2"/>
      <c r="F807" s="1"/>
      <c r="G807" s="1"/>
      <c r="H807" s="1"/>
      <c r="I807" s="1"/>
      <c r="J807" s="1"/>
      <c r="K807" s="1"/>
    </row>
    <row r="808" spans="4:11" ht="15.75" customHeight="1" x14ac:dyDescent="0.25">
      <c r="D808" s="1"/>
      <c r="E808" s="2"/>
      <c r="F808" s="1"/>
      <c r="G808" s="1"/>
      <c r="H808" s="1"/>
      <c r="I808" s="1"/>
      <c r="J808" s="1"/>
      <c r="K808" s="1"/>
    </row>
    <row r="809" spans="4:11" ht="15.75" customHeight="1" x14ac:dyDescent="0.25">
      <c r="D809" s="1"/>
      <c r="E809" s="2"/>
      <c r="F809" s="1"/>
      <c r="G809" s="1"/>
      <c r="H809" s="1"/>
      <c r="I809" s="1"/>
      <c r="J809" s="1"/>
      <c r="K809" s="1"/>
    </row>
    <row r="810" spans="4:11" ht="15.75" customHeight="1" x14ac:dyDescent="0.25">
      <c r="D810" s="1"/>
      <c r="E810" s="2"/>
      <c r="F810" s="1"/>
      <c r="G810" s="1"/>
      <c r="H810" s="1"/>
      <c r="I810" s="1"/>
      <c r="J810" s="1"/>
      <c r="K810" s="1"/>
    </row>
    <row r="811" spans="4:11" ht="15.75" customHeight="1" x14ac:dyDescent="0.25">
      <c r="D811" s="1"/>
      <c r="E811" s="2"/>
      <c r="F811" s="1"/>
      <c r="G811" s="1"/>
      <c r="H811" s="1"/>
      <c r="I811" s="1"/>
      <c r="J811" s="1"/>
      <c r="K811" s="1"/>
    </row>
    <row r="812" spans="4:11" ht="15.75" customHeight="1" x14ac:dyDescent="0.25">
      <c r="D812" s="1"/>
      <c r="E812" s="2"/>
      <c r="F812" s="1"/>
      <c r="G812" s="1"/>
      <c r="H812" s="1"/>
      <c r="I812" s="1"/>
      <c r="J812" s="1"/>
      <c r="K812" s="1"/>
    </row>
    <row r="813" spans="4:11" ht="15.75" customHeight="1" x14ac:dyDescent="0.25">
      <c r="D813" s="1"/>
      <c r="E813" s="2"/>
      <c r="F813" s="1"/>
      <c r="G813" s="1"/>
      <c r="H813" s="1"/>
      <c r="I813" s="1"/>
      <c r="J813" s="1"/>
      <c r="K813" s="1"/>
    </row>
    <row r="814" spans="4:11" ht="15.75" customHeight="1" x14ac:dyDescent="0.25">
      <c r="D814" s="1"/>
      <c r="E814" s="2"/>
      <c r="F814" s="1"/>
      <c r="G814" s="1"/>
      <c r="H814" s="1"/>
      <c r="I814" s="1"/>
      <c r="J814" s="1"/>
      <c r="K814" s="1"/>
    </row>
    <row r="815" spans="4:11" ht="15.75" customHeight="1" x14ac:dyDescent="0.25">
      <c r="D815" s="1"/>
      <c r="E815" s="2"/>
      <c r="F815" s="1"/>
      <c r="G815" s="1"/>
      <c r="H815" s="1"/>
      <c r="I815" s="1"/>
      <c r="J815" s="1"/>
      <c r="K815" s="1"/>
    </row>
    <row r="816" spans="4:11" ht="15.75" customHeight="1" x14ac:dyDescent="0.25">
      <c r="D816" s="1"/>
      <c r="E816" s="2"/>
      <c r="F816" s="1"/>
      <c r="G816" s="1"/>
      <c r="H816" s="1"/>
      <c r="I816" s="1"/>
      <c r="J816" s="1"/>
      <c r="K816" s="1"/>
    </row>
    <row r="817" spans="4:11" ht="15.75" customHeight="1" x14ac:dyDescent="0.25">
      <c r="D817" s="1"/>
      <c r="E817" s="2"/>
      <c r="F817" s="1"/>
      <c r="G817" s="1"/>
      <c r="H817" s="1"/>
      <c r="I817" s="1"/>
      <c r="J817" s="1"/>
      <c r="K817" s="1"/>
    </row>
    <row r="818" spans="4:11" ht="15.75" customHeight="1" x14ac:dyDescent="0.25">
      <c r="D818" s="1"/>
      <c r="E818" s="2"/>
      <c r="F818" s="1"/>
      <c r="G818" s="1"/>
      <c r="H818" s="1"/>
      <c r="I818" s="1"/>
      <c r="J818" s="1"/>
      <c r="K818" s="1"/>
    </row>
    <row r="819" spans="4:11" ht="15.75" customHeight="1" x14ac:dyDescent="0.25">
      <c r="D819" s="1"/>
      <c r="E819" s="2"/>
      <c r="F819" s="1"/>
      <c r="G819" s="1"/>
      <c r="H819" s="1"/>
      <c r="I819" s="1"/>
      <c r="J819" s="1"/>
      <c r="K819" s="1"/>
    </row>
    <row r="820" spans="4:11" ht="15.75" customHeight="1" x14ac:dyDescent="0.25">
      <c r="D820" s="1"/>
      <c r="E820" s="2"/>
      <c r="F820" s="1"/>
      <c r="G820" s="1"/>
      <c r="H820" s="1"/>
      <c r="I820" s="1"/>
      <c r="J820" s="1"/>
      <c r="K820" s="1"/>
    </row>
    <row r="821" spans="4:11" ht="15.75" customHeight="1" x14ac:dyDescent="0.25">
      <c r="D821" s="1"/>
      <c r="E821" s="2"/>
      <c r="F821" s="1"/>
      <c r="G821" s="1"/>
      <c r="H821" s="1"/>
      <c r="I821" s="1"/>
      <c r="J821" s="1"/>
      <c r="K821" s="1"/>
    </row>
    <row r="822" spans="4:11" ht="15.75" customHeight="1" x14ac:dyDescent="0.25">
      <c r="D822" s="1"/>
      <c r="E822" s="2"/>
      <c r="F822" s="1"/>
      <c r="G822" s="1"/>
      <c r="H822" s="1"/>
      <c r="I822" s="1"/>
      <c r="J822" s="1"/>
      <c r="K822" s="1"/>
    </row>
    <row r="823" spans="4:11" ht="15.75" customHeight="1" x14ac:dyDescent="0.25">
      <c r="D823" s="1"/>
      <c r="E823" s="2"/>
      <c r="F823" s="1"/>
      <c r="G823" s="1"/>
      <c r="H823" s="1"/>
      <c r="I823" s="1"/>
      <c r="J823" s="1"/>
      <c r="K823" s="1"/>
    </row>
    <row r="824" spans="4:11" ht="15.75" customHeight="1" x14ac:dyDescent="0.25">
      <c r="D824" s="1"/>
      <c r="E824" s="2"/>
      <c r="F824" s="1"/>
      <c r="G824" s="1"/>
      <c r="H824" s="1"/>
      <c r="I824" s="1"/>
      <c r="J824" s="1"/>
      <c r="K824" s="1"/>
    </row>
    <row r="825" spans="4:11" ht="15.75" customHeight="1" x14ac:dyDescent="0.25">
      <c r="D825" s="1"/>
      <c r="E825" s="2"/>
      <c r="F825" s="1"/>
      <c r="G825" s="1"/>
      <c r="H825" s="1"/>
      <c r="I825" s="1"/>
      <c r="J825" s="1"/>
      <c r="K825" s="1"/>
    </row>
    <row r="826" spans="4:11" ht="15.75" customHeight="1" x14ac:dyDescent="0.25">
      <c r="D826" s="1"/>
      <c r="E826" s="2"/>
      <c r="F826" s="1"/>
      <c r="G826" s="1"/>
      <c r="H826" s="1"/>
      <c r="I826" s="1"/>
      <c r="J826" s="1"/>
      <c r="K826" s="1"/>
    </row>
    <row r="827" spans="4:11" ht="15.75" customHeight="1" x14ac:dyDescent="0.25">
      <c r="D827" s="1"/>
      <c r="E827" s="2"/>
      <c r="F827" s="1"/>
      <c r="G827" s="1"/>
      <c r="H827" s="1"/>
      <c r="I827" s="1"/>
      <c r="J827" s="1"/>
      <c r="K827" s="1"/>
    </row>
    <row r="828" spans="4:11" ht="15.75" customHeight="1" x14ac:dyDescent="0.25">
      <c r="D828" s="1"/>
      <c r="E828" s="2"/>
      <c r="F828" s="1"/>
      <c r="G828" s="1"/>
      <c r="H828" s="1"/>
      <c r="I828" s="1"/>
      <c r="J828" s="1"/>
      <c r="K828" s="1"/>
    </row>
    <row r="829" spans="4:11" ht="15.75" customHeight="1" x14ac:dyDescent="0.25">
      <c r="D829" s="1"/>
      <c r="E829" s="2"/>
      <c r="F829" s="1"/>
      <c r="G829" s="1"/>
      <c r="H829" s="1"/>
      <c r="I829" s="1"/>
      <c r="J829" s="1"/>
      <c r="K829" s="1"/>
    </row>
    <row r="830" spans="4:11" ht="15.75" customHeight="1" x14ac:dyDescent="0.25">
      <c r="D830" s="1"/>
      <c r="E830" s="2"/>
      <c r="F830" s="1"/>
      <c r="G830" s="1"/>
      <c r="H830" s="1"/>
      <c r="I830" s="1"/>
      <c r="J830" s="1"/>
      <c r="K830" s="1"/>
    </row>
    <row r="831" spans="4:11" ht="15.75" customHeight="1" x14ac:dyDescent="0.25">
      <c r="D831" s="1"/>
      <c r="E831" s="2"/>
      <c r="F831" s="1"/>
      <c r="G831" s="1"/>
      <c r="H831" s="1"/>
      <c r="I831" s="1"/>
      <c r="J831" s="1"/>
      <c r="K831" s="1"/>
    </row>
    <row r="832" spans="4:11" ht="15.75" customHeight="1" x14ac:dyDescent="0.25">
      <c r="D832" s="1"/>
      <c r="E832" s="2"/>
      <c r="F832" s="1"/>
      <c r="G832" s="1"/>
      <c r="H832" s="1"/>
      <c r="I832" s="1"/>
      <c r="J832" s="1"/>
      <c r="K832" s="1"/>
    </row>
    <row r="833" spans="4:11" ht="15.75" customHeight="1" x14ac:dyDescent="0.25">
      <c r="D833" s="1"/>
      <c r="E833" s="2"/>
      <c r="F833" s="1"/>
      <c r="G833" s="1"/>
      <c r="H833" s="1"/>
      <c r="I833" s="1"/>
      <c r="J833" s="1"/>
      <c r="K833" s="1"/>
    </row>
    <row r="834" spans="4:11" ht="15.75" customHeight="1" x14ac:dyDescent="0.25">
      <c r="D834" s="1"/>
      <c r="E834" s="2"/>
      <c r="F834" s="1"/>
      <c r="G834" s="1"/>
      <c r="H834" s="1"/>
      <c r="I834" s="1"/>
      <c r="J834" s="1"/>
      <c r="K834" s="1"/>
    </row>
    <row r="835" spans="4:11" ht="15.75" customHeight="1" x14ac:dyDescent="0.25">
      <c r="D835" s="1"/>
      <c r="E835" s="2"/>
      <c r="F835" s="1"/>
      <c r="G835" s="1"/>
      <c r="H835" s="1"/>
      <c r="I835" s="1"/>
      <c r="J835" s="1"/>
      <c r="K835" s="1"/>
    </row>
    <row r="836" spans="4:11" ht="15.75" customHeight="1" x14ac:dyDescent="0.25">
      <c r="D836" s="1"/>
      <c r="E836" s="2"/>
      <c r="F836" s="1"/>
      <c r="G836" s="1"/>
      <c r="H836" s="1"/>
      <c r="I836" s="1"/>
      <c r="J836" s="1"/>
      <c r="K836" s="1"/>
    </row>
    <row r="837" spans="4:11" ht="15.75" customHeight="1" x14ac:dyDescent="0.25">
      <c r="D837" s="1"/>
      <c r="E837" s="2"/>
      <c r="F837" s="1"/>
      <c r="G837" s="1"/>
      <c r="H837" s="1"/>
      <c r="I837" s="1"/>
      <c r="J837" s="1"/>
      <c r="K837" s="1"/>
    </row>
    <row r="838" spans="4:11" ht="15.75" customHeight="1" x14ac:dyDescent="0.25">
      <c r="D838" s="1"/>
      <c r="E838" s="2"/>
      <c r="F838" s="1"/>
      <c r="G838" s="1"/>
      <c r="H838" s="1"/>
      <c r="I838" s="1"/>
      <c r="J838" s="1"/>
      <c r="K838" s="1"/>
    </row>
    <row r="839" spans="4:11" ht="15.75" customHeight="1" x14ac:dyDescent="0.25">
      <c r="D839" s="1"/>
      <c r="E839" s="2"/>
      <c r="F839" s="1"/>
      <c r="G839" s="1"/>
      <c r="H839" s="1"/>
      <c r="I839" s="1"/>
      <c r="J839" s="1"/>
      <c r="K839" s="1"/>
    </row>
    <row r="840" spans="4:11" ht="15.75" customHeight="1" x14ac:dyDescent="0.25">
      <c r="D840" s="1"/>
      <c r="E840" s="2"/>
      <c r="F840" s="1"/>
      <c r="G840" s="1"/>
      <c r="H840" s="1"/>
      <c r="I840" s="1"/>
      <c r="J840" s="1"/>
      <c r="K840" s="1"/>
    </row>
    <row r="841" spans="4:11" ht="15.75" customHeight="1" x14ac:dyDescent="0.25">
      <c r="D841" s="1"/>
      <c r="E841" s="2"/>
      <c r="F841" s="1"/>
      <c r="G841" s="1"/>
      <c r="H841" s="1"/>
      <c r="I841" s="1"/>
      <c r="J841" s="1"/>
      <c r="K841" s="1"/>
    </row>
    <row r="842" spans="4:11" ht="15.75" customHeight="1" x14ac:dyDescent="0.25">
      <c r="D842" s="1"/>
      <c r="E842" s="2"/>
      <c r="F842" s="1"/>
      <c r="G842" s="1"/>
      <c r="H842" s="1"/>
      <c r="I842" s="1"/>
      <c r="J842" s="1"/>
      <c r="K842" s="1"/>
    </row>
    <row r="843" spans="4:11" ht="15.75" customHeight="1" x14ac:dyDescent="0.25">
      <c r="D843" s="1"/>
      <c r="E843" s="2"/>
      <c r="F843" s="1"/>
      <c r="G843" s="1"/>
      <c r="H843" s="1"/>
      <c r="I843" s="1"/>
      <c r="J843" s="1"/>
      <c r="K843" s="1"/>
    </row>
    <row r="844" spans="4:11" ht="15.75" customHeight="1" x14ac:dyDescent="0.25">
      <c r="D844" s="1"/>
      <c r="E844" s="2"/>
      <c r="F844" s="1"/>
      <c r="G844" s="1"/>
      <c r="H844" s="1"/>
      <c r="I844" s="1"/>
      <c r="J844" s="1"/>
      <c r="K844" s="1"/>
    </row>
    <row r="845" spans="4:11" ht="15.75" customHeight="1" x14ac:dyDescent="0.25">
      <c r="D845" s="1"/>
      <c r="E845" s="2"/>
      <c r="F845" s="1"/>
      <c r="G845" s="1"/>
      <c r="H845" s="1"/>
      <c r="I845" s="1"/>
      <c r="J845" s="1"/>
      <c r="K845" s="1"/>
    </row>
    <row r="846" spans="4:11" ht="15.75" customHeight="1" x14ac:dyDescent="0.25">
      <c r="D846" s="1"/>
      <c r="E846" s="2"/>
      <c r="F846" s="1"/>
      <c r="G846" s="1"/>
      <c r="H846" s="1"/>
      <c r="I846" s="1"/>
      <c r="J846" s="1"/>
      <c r="K846" s="1"/>
    </row>
    <row r="847" spans="4:11" ht="15.75" customHeight="1" x14ac:dyDescent="0.25">
      <c r="D847" s="1"/>
      <c r="E847" s="2"/>
      <c r="F847" s="1"/>
      <c r="G847" s="1"/>
      <c r="H847" s="1"/>
      <c r="I847" s="1"/>
      <c r="J847" s="1"/>
      <c r="K847" s="1"/>
    </row>
    <row r="848" spans="4:11" ht="15.75" customHeight="1" x14ac:dyDescent="0.25">
      <c r="D848" s="1"/>
      <c r="E848" s="2"/>
      <c r="F848" s="1"/>
      <c r="G848" s="1"/>
      <c r="H848" s="1"/>
      <c r="I848" s="1"/>
      <c r="J848" s="1"/>
      <c r="K848" s="1"/>
    </row>
    <row r="849" spans="4:11" ht="15.75" customHeight="1" x14ac:dyDescent="0.25">
      <c r="D849" s="1"/>
      <c r="E849" s="2"/>
      <c r="F849" s="1"/>
      <c r="G849" s="1"/>
      <c r="H849" s="1"/>
      <c r="I849" s="1"/>
      <c r="J849" s="1"/>
      <c r="K849" s="1"/>
    </row>
    <row r="850" spans="4:11" ht="15.75" customHeight="1" x14ac:dyDescent="0.25">
      <c r="D850" s="1"/>
      <c r="E850" s="2"/>
      <c r="F850" s="1"/>
      <c r="G850" s="1"/>
      <c r="H850" s="1"/>
      <c r="I850" s="1"/>
      <c r="J850" s="1"/>
      <c r="K850" s="1"/>
    </row>
    <row r="851" spans="4:11" ht="15.75" customHeight="1" x14ac:dyDescent="0.25">
      <c r="D851" s="1"/>
      <c r="E851" s="2"/>
      <c r="F851" s="1"/>
      <c r="G851" s="1"/>
      <c r="H851" s="1"/>
      <c r="I851" s="1"/>
      <c r="J851" s="1"/>
      <c r="K851" s="1"/>
    </row>
    <row r="852" spans="4:11" ht="15.75" customHeight="1" x14ac:dyDescent="0.25">
      <c r="D852" s="1"/>
      <c r="E852" s="2"/>
      <c r="F852" s="1"/>
      <c r="G852" s="1"/>
      <c r="H852" s="1"/>
      <c r="I852" s="1"/>
      <c r="J852" s="1"/>
      <c r="K852" s="1"/>
    </row>
    <row r="853" spans="4:11" ht="15.75" customHeight="1" x14ac:dyDescent="0.25">
      <c r="D853" s="1"/>
      <c r="E853" s="2"/>
      <c r="F853" s="1"/>
      <c r="G853" s="1"/>
      <c r="H853" s="1"/>
      <c r="I853" s="1"/>
      <c r="J853" s="1"/>
      <c r="K853" s="1"/>
    </row>
    <row r="854" spans="4:11" ht="15.75" customHeight="1" x14ac:dyDescent="0.25">
      <c r="D854" s="1"/>
      <c r="E854" s="2"/>
      <c r="F854" s="1"/>
      <c r="G854" s="1"/>
      <c r="H854" s="1"/>
      <c r="I854" s="1"/>
      <c r="J854" s="1"/>
      <c r="K854" s="1"/>
    </row>
    <row r="855" spans="4:11" ht="15.75" customHeight="1" x14ac:dyDescent="0.25">
      <c r="D855" s="1"/>
      <c r="E855" s="2"/>
      <c r="F855" s="1"/>
      <c r="G855" s="1"/>
      <c r="H855" s="1"/>
      <c r="I855" s="1"/>
      <c r="J855" s="1"/>
      <c r="K855" s="1"/>
    </row>
    <row r="856" spans="4:11" ht="15.75" customHeight="1" x14ac:dyDescent="0.25">
      <c r="D856" s="1"/>
      <c r="E856" s="2"/>
      <c r="F856" s="1"/>
      <c r="G856" s="1"/>
      <c r="H856" s="1"/>
      <c r="I856" s="1"/>
      <c r="J856" s="1"/>
      <c r="K856" s="1"/>
    </row>
    <row r="857" spans="4:11" ht="15.75" customHeight="1" x14ac:dyDescent="0.25">
      <c r="D857" s="1"/>
      <c r="E857" s="2"/>
      <c r="F857" s="1"/>
      <c r="G857" s="1"/>
      <c r="H857" s="1"/>
      <c r="I857" s="1"/>
      <c r="J857" s="1"/>
      <c r="K857" s="1"/>
    </row>
    <row r="858" spans="4:11" ht="15.75" customHeight="1" x14ac:dyDescent="0.25">
      <c r="D858" s="1"/>
      <c r="E858" s="2"/>
      <c r="F858" s="1"/>
      <c r="G858" s="1"/>
      <c r="H858" s="1"/>
      <c r="I858" s="1"/>
      <c r="J858" s="1"/>
      <c r="K858" s="1"/>
    </row>
    <row r="859" spans="4:11" ht="15.75" customHeight="1" x14ac:dyDescent="0.25">
      <c r="D859" s="1"/>
      <c r="E859" s="2"/>
      <c r="F859" s="1"/>
      <c r="G859" s="1"/>
      <c r="H859" s="1"/>
      <c r="I859" s="1"/>
      <c r="J859" s="1"/>
      <c r="K859" s="1"/>
    </row>
    <row r="860" spans="4:11" ht="15.75" customHeight="1" x14ac:dyDescent="0.25">
      <c r="D860" s="1"/>
      <c r="E860" s="2"/>
      <c r="F860" s="1"/>
      <c r="G860" s="1"/>
      <c r="H860" s="1"/>
      <c r="I860" s="1"/>
      <c r="J860" s="1"/>
      <c r="K860" s="1"/>
    </row>
    <row r="861" spans="4:11" ht="15.75" customHeight="1" x14ac:dyDescent="0.25">
      <c r="D861" s="1"/>
      <c r="E861" s="2"/>
      <c r="F861" s="1"/>
      <c r="G861" s="1"/>
      <c r="H861" s="1"/>
      <c r="I861" s="1"/>
      <c r="J861" s="1"/>
      <c r="K861" s="1"/>
    </row>
    <row r="862" spans="4:11" ht="15.75" customHeight="1" x14ac:dyDescent="0.25">
      <c r="D862" s="1"/>
      <c r="E862" s="2"/>
      <c r="F862" s="1"/>
      <c r="G862" s="1"/>
      <c r="H862" s="1"/>
      <c r="I862" s="1"/>
      <c r="J862" s="1"/>
      <c r="K862" s="1"/>
    </row>
    <row r="863" spans="4:11" ht="15.75" customHeight="1" x14ac:dyDescent="0.25">
      <c r="D863" s="1"/>
      <c r="E863" s="2"/>
      <c r="F863" s="1"/>
      <c r="G863" s="1"/>
      <c r="H863" s="1"/>
      <c r="I863" s="1"/>
      <c r="J863" s="1"/>
      <c r="K863" s="1"/>
    </row>
    <row r="864" spans="4:11" ht="15.75" customHeight="1" x14ac:dyDescent="0.25">
      <c r="D864" s="1"/>
      <c r="E864" s="2"/>
      <c r="F864" s="1"/>
      <c r="G864" s="1"/>
      <c r="H864" s="1"/>
      <c r="I864" s="1"/>
      <c r="J864" s="1"/>
      <c r="K864" s="1"/>
    </row>
    <row r="865" spans="4:11" ht="15.75" customHeight="1" x14ac:dyDescent="0.25">
      <c r="D865" s="1"/>
      <c r="E865" s="2"/>
      <c r="F865" s="1"/>
      <c r="G865" s="1"/>
      <c r="H865" s="1"/>
      <c r="I865" s="1"/>
      <c r="J865" s="1"/>
      <c r="K865" s="1"/>
    </row>
    <row r="866" spans="4:11" ht="15.75" customHeight="1" x14ac:dyDescent="0.25">
      <c r="D866" s="1"/>
      <c r="E866" s="2"/>
      <c r="F866" s="1"/>
      <c r="G866" s="1"/>
      <c r="H866" s="1"/>
      <c r="I866" s="1"/>
      <c r="J866" s="1"/>
      <c r="K866" s="1"/>
    </row>
    <row r="867" spans="4:11" ht="15.75" customHeight="1" x14ac:dyDescent="0.25">
      <c r="D867" s="1"/>
      <c r="E867" s="2"/>
      <c r="F867" s="1"/>
      <c r="G867" s="1"/>
      <c r="H867" s="1"/>
      <c r="I867" s="1"/>
      <c r="J867" s="1"/>
      <c r="K867" s="1"/>
    </row>
    <row r="868" spans="4:11" ht="15.75" customHeight="1" x14ac:dyDescent="0.25">
      <c r="D868" s="1"/>
      <c r="E868" s="2"/>
      <c r="F868" s="1"/>
      <c r="G868" s="1"/>
      <c r="H868" s="1"/>
      <c r="I868" s="1"/>
      <c r="J868" s="1"/>
      <c r="K868" s="1"/>
    </row>
    <row r="869" spans="4:11" ht="15.75" customHeight="1" x14ac:dyDescent="0.25">
      <c r="D869" s="1"/>
      <c r="E869" s="2"/>
      <c r="F869" s="1"/>
      <c r="G869" s="1"/>
      <c r="H869" s="1"/>
      <c r="I869" s="1"/>
      <c r="J869" s="1"/>
      <c r="K869" s="1"/>
    </row>
    <row r="870" spans="4:11" ht="15.75" customHeight="1" x14ac:dyDescent="0.25">
      <c r="D870" s="1"/>
      <c r="E870" s="2"/>
      <c r="F870" s="1"/>
      <c r="G870" s="1"/>
      <c r="H870" s="1"/>
      <c r="I870" s="1"/>
      <c r="J870" s="1"/>
      <c r="K870" s="1"/>
    </row>
    <row r="871" spans="4:11" ht="15.75" customHeight="1" x14ac:dyDescent="0.25">
      <c r="D871" s="1"/>
      <c r="E871" s="2"/>
      <c r="F871" s="1"/>
      <c r="G871" s="1"/>
      <c r="H871" s="1"/>
      <c r="I871" s="1"/>
      <c r="J871" s="1"/>
      <c r="K871" s="1"/>
    </row>
    <row r="872" spans="4:11" ht="15.75" customHeight="1" x14ac:dyDescent="0.25">
      <c r="D872" s="1"/>
      <c r="E872" s="2"/>
      <c r="F872" s="1"/>
      <c r="G872" s="1"/>
      <c r="H872" s="1"/>
      <c r="I872" s="1"/>
      <c r="J872" s="1"/>
      <c r="K872" s="1"/>
    </row>
    <row r="873" spans="4:11" ht="15.75" customHeight="1" x14ac:dyDescent="0.25">
      <c r="D873" s="1"/>
      <c r="E873" s="2"/>
      <c r="F873" s="1"/>
      <c r="G873" s="1"/>
      <c r="H873" s="1"/>
      <c r="I873" s="1"/>
      <c r="J873" s="1"/>
      <c r="K873" s="1"/>
    </row>
    <row r="874" spans="4:11" ht="15.75" customHeight="1" x14ac:dyDescent="0.25">
      <c r="D874" s="1"/>
      <c r="E874" s="2"/>
      <c r="F874" s="1"/>
      <c r="G874" s="1"/>
      <c r="H874" s="1"/>
      <c r="I874" s="1"/>
      <c r="J874" s="1"/>
      <c r="K874" s="1"/>
    </row>
    <row r="875" spans="4:11" ht="15.75" customHeight="1" x14ac:dyDescent="0.25">
      <c r="D875" s="1"/>
      <c r="E875" s="2"/>
      <c r="F875" s="1"/>
      <c r="G875" s="1"/>
      <c r="H875" s="1"/>
      <c r="I875" s="1"/>
      <c r="J875" s="1"/>
      <c r="K875" s="1"/>
    </row>
    <row r="876" spans="4:11" ht="15.75" customHeight="1" x14ac:dyDescent="0.25">
      <c r="D876" s="1"/>
      <c r="E876" s="2"/>
      <c r="F876" s="1"/>
      <c r="G876" s="1"/>
      <c r="H876" s="1"/>
      <c r="I876" s="1"/>
      <c r="J876" s="1"/>
      <c r="K876" s="1"/>
    </row>
    <row r="877" spans="4:11" ht="15.75" customHeight="1" x14ac:dyDescent="0.25">
      <c r="D877" s="1"/>
      <c r="E877" s="2"/>
      <c r="F877" s="1"/>
      <c r="G877" s="1"/>
      <c r="H877" s="1"/>
      <c r="I877" s="1"/>
      <c r="J877" s="1"/>
      <c r="K877" s="1"/>
    </row>
    <row r="878" spans="4:11" ht="15.75" customHeight="1" x14ac:dyDescent="0.25">
      <c r="D878" s="1"/>
      <c r="E878" s="2"/>
      <c r="F878" s="1"/>
      <c r="G878" s="1"/>
      <c r="H878" s="1"/>
      <c r="I878" s="1"/>
      <c r="J878" s="1"/>
      <c r="K878" s="1"/>
    </row>
    <row r="879" spans="4:11" ht="15.75" customHeight="1" x14ac:dyDescent="0.25">
      <c r="D879" s="1"/>
      <c r="E879" s="2"/>
      <c r="F879" s="1"/>
      <c r="G879" s="1"/>
      <c r="H879" s="1"/>
      <c r="I879" s="1"/>
      <c r="J879" s="1"/>
      <c r="K879" s="1"/>
    </row>
    <row r="880" spans="4:11" ht="15.75" customHeight="1" x14ac:dyDescent="0.25">
      <c r="D880" s="1"/>
      <c r="E880" s="2"/>
      <c r="F880" s="1"/>
      <c r="G880" s="1"/>
      <c r="H880" s="1"/>
      <c r="I880" s="1"/>
      <c r="J880" s="1"/>
      <c r="K880" s="1"/>
    </row>
    <row r="881" spans="4:11" ht="15.75" customHeight="1" x14ac:dyDescent="0.25">
      <c r="D881" s="1"/>
      <c r="E881" s="2"/>
      <c r="F881" s="1"/>
      <c r="G881" s="1"/>
      <c r="H881" s="1"/>
      <c r="I881" s="1"/>
      <c r="J881" s="1"/>
      <c r="K881" s="1"/>
    </row>
    <row r="882" spans="4:11" ht="15.75" customHeight="1" x14ac:dyDescent="0.25">
      <c r="D882" s="1"/>
      <c r="E882" s="2"/>
      <c r="F882" s="1"/>
      <c r="G882" s="1"/>
      <c r="H882" s="1"/>
      <c r="I882" s="1"/>
      <c r="J882" s="1"/>
      <c r="K882" s="1"/>
    </row>
    <row r="883" spans="4:11" ht="15.75" customHeight="1" x14ac:dyDescent="0.25">
      <c r="D883" s="1"/>
      <c r="E883" s="2"/>
      <c r="F883" s="1"/>
      <c r="G883" s="1"/>
      <c r="H883" s="1"/>
      <c r="I883" s="1"/>
      <c r="J883" s="1"/>
      <c r="K883" s="1"/>
    </row>
    <row r="884" spans="4:11" ht="15.75" customHeight="1" x14ac:dyDescent="0.25">
      <c r="D884" s="1"/>
      <c r="E884" s="2"/>
      <c r="F884" s="1"/>
      <c r="G884" s="1"/>
      <c r="H884" s="1"/>
      <c r="I884" s="1"/>
      <c r="J884" s="1"/>
      <c r="K884" s="1"/>
    </row>
    <row r="885" spans="4:11" ht="15.75" customHeight="1" x14ac:dyDescent="0.25">
      <c r="D885" s="1"/>
      <c r="E885" s="2"/>
      <c r="F885" s="1"/>
      <c r="G885" s="1"/>
      <c r="H885" s="1"/>
      <c r="I885" s="1"/>
      <c r="J885" s="1"/>
      <c r="K885" s="1"/>
    </row>
    <row r="886" spans="4:11" ht="15.75" customHeight="1" x14ac:dyDescent="0.25">
      <c r="D886" s="1"/>
      <c r="E886" s="2"/>
      <c r="F886" s="1"/>
      <c r="G886" s="1"/>
      <c r="H886" s="1"/>
      <c r="I886" s="1"/>
      <c r="J886" s="1"/>
      <c r="K886" s="1"/>
    </row>
    <row r="887" spans="4:11" ht="15.75" customHeight="1" x14ac:dyDescent="0.25">
      <c r="D887" s="1"/>
      <c r="E887" s="2"/>
      <c r="F887" s="1"/>
      <c r="G887" s="1"/>
      <c r="H887" s="1"/>
      <c r="I887" s="1"/>
      <c r="J887" s="1"/>
      <c r="K887" s="1"/>
    </row>
    <row r="888" spans="4:11" ht="15.75" customHeight="1" x14ac:dyDescent="0.25">
      <c r="D888" s="1"/>
      <c r="E888" s="2"/>
      <c r="F888" s="1"/>
      <c r="G888" s="1"/>
      <c r="H888" s="1"/>
      <c r="I888" s="1"/>
      <c r="J888" s="1"/>
      <c r="K888" s="1"/>
    </row>
    <row r="889" spans="4:11" ht="15.75" customHeight="1" x14ac:dyDescent="0.25">
      <c r="D889" s="1"/>
      <c r="E889" s="2"/>
      <c r="F889" s="1"/>
      <c r="G889" s="1"/>
      <c r="H889" s="1"/>
      <c r="I889" s="1"/>
      <c r="J889" s="1"/>
      <c r="K889" s="1"/>
    </row>
    <row r="890" spans="4:11" ht="15.75" customHeight="1" x14ac:dyDescent="0.25">
      <c r="D890" s="1"/>
      <c r="E890" s="2"/>
      <c r="F890" s="1"/>
      <c r="G890" s="1"/>
      <c r="H890" s="1"/>
      <c r="I890" s="1"/>
      <c r="J890" s="1"/>
      <c r="K890" s="1"/>
    </row>
    <row r="891" spans="4:11" ht="15.75" customHeight="1" x14ac:dyDescent="0.25">
      <c r="D891" s="1"/>
      <c r="E891" s="2"/>
      <c r="F891" s="1"/>
      <c r="G891" s="1"/>
      <c r="H891" s="1"/>
      <c r="I891" s="1"/>
      <c r="J891" s="1"/>
      <c r="K891" s="1"/>
    </row>
    <row r="892" spans="4:11" ht="15.75" customHeight="1" x14ac:dyDescent="0.25">
      <c r="D892" s="1"/>
      <c r="E892" s="2"/>
      <c r="F892" s="1"/>
      <c r="G892" s="1"/>
      <c r="H892" s="1"/>
      <c r="I892" s="1"/>
      <c r="J892" s="1"/>
      <c r="K892" s="1"/>
    </row>
    <row r="893" spans="4:11" ht="15.75" customHeight="1" x14ac:dyDescent="0.25">
      <c r="D893" s="1"/>
      <c r="E893" s="2"/>
      <c r="F893" s="1"/>
      <c r="G893" s="1"/>
      <c r="H893" s="1"/>
      <c r="I893" s="1"/>
      <c r="J893" s="1"/>
      <c r="K893" s="1"/>
    </row>
    <row r="894" spans="4:11" ht="15.75" customHeight="1" x14ac:dyDescent="0.25">
      <c r="D894" s="1"/>
      <c r="E894" s="2"/>
      <c r="F894" s="1"/>
      <c r="G894" s="1"/>
      <c r="H894" s="1"/>
      <c r="I894" s="1"/>
      <c r="J894" s="1"/>
      <c r="K894" s="1"/>
    </row>
    <row r="895" spans="4:11" ht="15.75" customHeight="1" x14ac:dyDescent="0.25">
      <c r="D895" s="1"/>
      <c r="E895" s="2"/>
      <c r="F895" s="1"/>
      <c r="G895" s="1"/>
      <c r="H895" s="1"/>
      <c r="I895" s="1"/>
      <c r="J895" s="1"/>
      <c r="K895" s="1"/>
    </row>
    <row r="896" spans="4:11" ht="15.75" customHeight="1" x14ac:dyDescent="0.25">
      <c r="D896" s="1"/>
      <c r="E896" s="2"/>
      <c r="F896" s="1"/>
      <c r="G896" s="1"/>
      <c r="H896" s="1"/>
      <c r="I896" s="1"/>
      <c r="J896" s="1"/>
      <c r="K896" s="1"/>
    </row>
    <row r="897" spans="4:11" ht="15.75" customHeight="1" x14ac:dyDescent="0.25">
      <c r="D897" s="1"/>
      <c r="E897" s="2"/>
      <c r="F897" s="1"/>
      <c r="G897" s="1"/>
      <c r="H897" s="1"/>
      <c r="I897" s="1"/>
      <c r="J897" s="1"/>
      <c r="K897" s="1"/>
    </row>
    <row r="898" spans="4:11" ht="15.75" customHeight="1" x14ac:dyDescent="0.25">
      <c r="D898" s="1"/>
      <c r="E898" s="2"/>
      <c r="F898" s="1"/>
      <c r="G898" s="1"/>
      <c r="H898" s="1"/>
      <c r="I898" s="1"/>
      <c r="J898" s="1"/>
      <c r="K898" s="1"/>
    </row>
    <row r="899" spans="4:11" ht="15.75" customHeight="1" x14ac:dyDescent="0.25">
      <c r="D899" s="1"/>
      <c r="E899" s="2"/>
      <c r="F899" s="1"/>
      <c r="G899" s="1"/>
      <c r="H899" s="1"/>
      <c r="I899" s="1"/>
      <c r="J899" s="1"/>
      <c r="K899" s="1"/>
    </row>
    <row r="900" spans="4:11" ht="15.75" customHeight="1" x14ac:dyDescent="0.25">
      <c r="D900" s="1"/>
      <c r="E900" s="2"/>
      <c r="F900" s="1"/>
      <c r="G900" s="1"/>
      <c r="H900" s="1"/>
      <c r="I900" s="1"/>
      <c r="J900" s="1"/>
      <c r="K900" s="1"/>
    </row>
    <row r="901" spans="4:11" ht="15.75" customHeight="1" x14ac:dyDescent="0.25">
      <c r="D901" s="1"/>
      <c r="E901" s="2"/>
      <c r="F901" s="1"/>
      <c r="G901" s="1"/>
      <c r="H901" s="1"/>
      <c r="I901" s="1"/>
      <c r="J901" s="1"/>
      <c r="K901" s="1"/>
    </row>
    <row r="902" spans="4:11" ht="15.75" customHeight="1" x14ac:dyDescent="0.25">
      <c r="D902" s="1"/>
      <c r="E902" s="2"/>
      <c r="F902" s="1"/>
      <c r="G902" s="1"/>
      <c r="H902" s="1"/>
      <c r="I902" s="1"/>
      <c r="J902" s="1"/>
      <c r="K902" s="1"/>
    </row>
    <row r="903" spans="4:11" ht="15.75" customHeight="1" x14ac:dyDescent="0.25">
      <c r="D903" s="1"/>
      <c r="E903" s="2"/>
      <c r="F903" s="1"/>
      <c r="G903" s="1"/>
      <c r="H903" s="1"/>
      <c r="I903" s="1"/>
      <c r="J903" s="1"/>
      <c r="K903" s="1"/>
    </row>
    <row r="904" spans="4:11" ht="15.75" customHeight="1" x14ac:dyDescent="0.25">
      <c r="D904" s="1"/>
      <c r="E904" s="2"/>
      <c r="F904" s="1"/>
      <c r="G904" s="1"/>
      <c r="H904" s="1"/>
      <c r="I904" s="1"/>
      <c r="J904" s="1"/>
      <c r="K904" s="1"/>
    </row>
    <row r="905" spans="4:11" ht="15.75" customHeight="1" x14ac:dyDescent="0.25">
      <c r="D905" s="1"/>
      <c r="E905" s="2"/>
      <c r="F905" s="1"/>
      <c r="G905" s="1"/>
      <c r="H905" s="1"/>
      <c r="I905" s="1"/>
      <c r="J905" s="1"/>
      <c r="K905" s="1"/>
    </row>
    <row r="906" spans="4:11" ht="15.75" customHeight="1" x14ac:dyDescent="0.25">
      <c r="D906" s="1"/>
      <c r="E906" s="2"/>
      <c r="F906" s="1"/>
      <c r="G906" s="1"/>
      <c r="H906" s="1"/>
      <c r="I906" s="1"/>
      <c r="J906" s="1"/>
      <c r="K906" s="1"/>
    </row>
    <row r="907" spans="4:11" ht="15.75" customHeight="1" x14ac:dyDescent="0.25">
      <c r="D907" s="1"/>
      <c r="E907" s="2"/>
      <c r="F907" s="1"/>
      <c r="G907" s="1"/>
      <c r="H907" s="1"/>
      <c r="I907" s="1"/>
      <c r="J907" s="1"/>
      <c r="K907" s="1"/>
    </row>
    <row r="908" spans="4:11" ht="15.75" customHeight="1" x14ac:dyDescent="0.25">
      <c r="D908" s="1"/>
      <c r="E908" s="2"/>
      <c r="F908" s="1"/>
      <c r="G908" s="1"/>
      <c r="H908" s="1"/>
      <c r="I908" s="1"/>
      <c r="J908" s="1"/>
      <c r="K908" s="1"/>
    </row>
    <row r="909" spans="4:11" ht="15.75" customHeight="1" x14ac:dyDescent="0.25">
      <c r="D909" s="1"/>
      <c r="E909" s="2"/>
      <c r="F909" s="1"/>
      <c r="G909" s="1"/>
      <c r="H909" s="1"/>
      <c r="I909" s="1"/>
      <c r="J909" s="1"/>
      <c r="K909" s="1"/>
    </row>
    <row r="910" spans="4:11" ht="15.75" customHeight="1" x14ac:dyDescent="0.25">
      <c r="D910" s="1"/>
      <c r="E910" s="2"/>
      <c r="F910" s="1"/>
      <c r="G910" s="1"/>
      <c r="H910" s="1"/>
      <c r="I910" s="1"/>
      <c r="J910" s="1"/>
      <c r="K910" s="1"/>
    </row>
    <row r="911" spans="4:11" ht="15.75" customHeight="1" x14ac:dyDescent="0.25">
      <c r="D911" s="1"/>
      <c r="E911" s="2"/>
      <c r="F911" s="1"/>
      <c r="G911" s="1"/>
      <c r="H911" s="1"/>
      <c r="I911" s="1"/>
      <c r="J911" s="1"/>
      <c r="K911" s="1"/>
    </row>
    <row r="912" spans="4:11" ht="15.75" customHeight="1" x14ac:dyDescent="0.25">
      <c r="D912" s="1"/>
      <c r="E912" s="2"/>
      <c r="F912" s="1"/>
      <c r="G912" s="1"/>
      <c r="H912" s="1"/>
      <c r="I912" s="1"/>
      <c r="J912" s="1"/>
      <c r="K912" s="1"/>
    </row>
    <row r="913" spans="4:11" ht="15.75" customHeight="1" x14ac:dyDescent="0.25">
      <c r="D913" s="1"/>
      <c r="E913" s="2"/>
      <c r="F913" s="1"/>
      <c r="G913" s="1"/>
      <c r="H913" s="1"/>
      <c r="I913" s="1"/>
      <c r="J913" s="1"/>
      <c r="K913" s="1"/>
    </row>
    <row r="914" spans="4:11" ht="15.75" customHeight="1" x14ac:dyDescent="0.25">
      <c r="D914" s="1"/>
      <c r="E914" s="2"/>
      <c r="F914" s="1"/>
      <c r="G914" s="1"/>
      <c r="H914" s="1"/>
      <c r="I914" s="1"/>
      <c r="J914" s="1"/>
      <c r="K914" s="1"/>
    </row>
    <row r="915" spans="4:11" ht="15.75" customHeight="1" x14ac:dyDescent="0.25">
      <c r="D915" s="1"/>
      <c r="E915" s="2"/>
      <c r="F915" s="1"/>
      <c r="G915" s="1"/>
      <c r="H915" s="1"/>
      <c r="I915" s="1"/>
      <c r="J915" s="1"/>
      <c r="K915" s="1"/>
    </row>
    <row r="916" spans="4:11" ht="15.75" customHeight="1" x14ac:dyDescent="0.25">
      <c r="D916" s="1"/>
      <c r="E916" s="2"/>
      <c r="F916" s="1"/>
      <c r="G916" s="1"/>
      <c r="H916" s="1"/>
      <c r="I916" s="1"/>
      <c r="J916" s="1"/>
      <c r="K916" s="1"/>
    </row>
    <row r="917" spans="4:11" ht="15.75" customHeight="1" x14ac:dyDescent="0.25">
      <c r="D917" s="1"/>
      <c r="E917" s="2"/>
      <c r="F917" s="1"/>
      <c r="G917" s="1"/>
      <c r="H917" s="1"/>
      <c r="I917" s="1"/>
      <c r="J917" s="1"/>
      <c r="K917" s="1"/>
    </row>
    <row r="918" spans="4:11" ht="15.75" customHeight="1" x14ac:dyDescent="0.25">
      <c r="D918" s="1"/>
      <c r="E918" s="2"/>
      <c r="F918" s="1"/>
      <c r="G918" s="1"/>
      <c r="H918" s="1"/>
      <c r="I918" s="1"/>
      <c r="J918" s="1"/>
      <c r="K918" s="1"/>
    </row>
    <row r="919" spans="4:11" ht="15.75" customHeight="1" x14ac:dyDescent="0.25">
      <c r="D919" s="1"/>
      <c r="E919" s="2"/>
      <c r="F919" s="1"/>
      <c r="G919" s="1"/>
      <c r="H919" s="1"/>
      <c r="I919" s="1"/>
      <c r="J919" s="1"/>
      <c r="K919" s="1"/>
    </row>
    <row r="920" spans="4:11" ht="15.75" customHeight="1" x14ac:dyDescent="0.25">
      <c r="D920" s="1"/>
      <c r="E920" s="2"/>
      <c r="F920" s="1"/>
      <c r="G920" s="1"/>
      <c r="H920" s="1"/>
      <c r="I920" s="1"/>
      <c r="J920" s="1"/>
      <c r="K920" s="1"/>
    </row>
    <row r="921" spans="4:11" ht="15.75" customHeight="1" x14ac:dyDescent="0.25">
      <c r="D921" s="1"/>
      <c r="E921" s="2"/>
      <c r="F921" s="1"/>
      <c r="G921" s="1"/>
      <c r="H921" s="1"/>
      <c r="I921" s="1"/>
      <c r="J921" s="1"/>
      <c r="K921" s="1"/>
    </row>
    <row r="922" spans="4:11" ht="15.75" customHeight="1" x14ac:dyDescent="0.25">
      <c r="D922" s="1"/>
      <c r="E922" s="2"/>
      <c r="F922" s="1"/>
      <c r="G922" s="1"/>
      <c r="H922" s="1"/>
      <c r="I922" s="1"/>
      <c r="J922" s="1"/>
      <c r="K922" s="1"/>
    </row>
    <row r="923" spans="4:11" ht="15.75" customHeight="1" x14ac:dyDescent="0.25">
      <c r="D923" s="1"/>
      <c r="E923" s="2"/>
      <c r="F923" s="1"/>
      <c r="G923" s="1"/>
      <c r="H923" s="1"/>
      <c r="I923" s="1"/>
      <c r="J923" s="1"/>
      <c r="K923" s="1"/>
    </row>
    <row r="924" spans="4:11" ht="15.75" customHeight="1" x14ac:dyDescent="0.25">
      <c r="D924" s="1"/>
      <c r="E924" s="2"/>
      <c r="F924" s="1"/>
      <c r="G924" s="1"/>
      <c r="H924" s="1"/>
      <c r="I924" s="1"/>
      <c r="J924" s="1"/>
      <c r="K924" s="1"/>
    </row>
    <row r="925" spans="4:11" ht="15.75" customHeight="1" x14ac:dyDescent="0.25">
      <c r="D925" s="1"/>
      <c r="E925" s="2"/>
      <c r="F925" s="1"/>
      <c r="G925" s="1"/>
      <c r="H925" s="1"/>
      <c r="I925" s="1"/>
      <c r="J925" s="1"/>
      <c r="K925" s="1"/>
    </row>
    <row r="926" spans="4:11" ht="15.75" customHeight="1" x14ac:dyDescent="0.25">
      <c r="D926" s="1"/>
      <c r="E926" s="2"/>
      <c r="F926" s="1"/>
      <c r="G926" s="1"/>
      <c r="H926" s="1"/>
      <c r="I926" s="1"/>
      <c r="J926" s="1"/>
      <c r="K926" s="1"/>
    </row>
    <row r="927" spans="4:11" ht="15.75" customHeight="1" x14ac:dyDescent="0.25">
      <c r="D927" s="1"/>
      <c r="E927" s="2"/>
      <c r="F927" s="1"/>
      <c r="G927" s="1"/>
      <c r="H927" s="1"/>
      <c r="I927" s="1"/>
      <c r="J927" s="1"/>
      <c r="K927" s="1"/>
    </row>
    <row r="928" spans="4:11" ht="15.75" customHeight="1" x14ac:dyDescent="0.25">
      <c r="D928" s="1"/>
      <c r="E928" s="2"/>
      <c r="F928" s="1"/>
      <c r="G928" s="1"/>
      <c r="H928" s="1"/>
      <c r="I928" s="1"/>
      <c r="J928" s="1"/>
      <c r="K928" s="1"/>
    </row>
    <row r="929" spans="4:11" ht="15" customHeight="1" x14ac:dyDescent="0.25">
      <c r="D929" s="1"/>
      <c r="E929" s="2"/>
      <c r="F929" s="1"/>
      <c r="G929" s="1"/>
      <c r="H929" s="1"/>
      <c r="I929" s="1"/>
      <c r="J929" s="1"/>
      <c r="K929" s="1"/>
    </row>
    <row r="930" spans="4:11" ht="15" customHeight="1" x14ac:dyDescent="0.25">
      <c r="D930" s="1"/>
      <c r="E930" s="2"/>
      <c r="F930" s="1"/>
      <c r="G930" s="1"/>
      <c r="H930" s="1"/>
      <c r="I930" s="1"/>
      <c r="J930" s="1"/>
      <c r="K930" s="1"/>
    </row>
    <row r="931" spans="4:11" ht="15" customHeight="1" x14ac:dyDescent="0.25">
      <c r="D931" s="1"/>
      <c r="E931" s="2"/>
      <c r="F931" s="1"/>
      <c r="G931" s="1"/>
      <c r="H931" s="1"/>
      <c r="I931" s="1"/>
      <c r="J931" s="1"/>
      <c r="K931" s="1"/>
    </row>
    <row r="932" spans="4:11" ht="15" customHeight="1" x14ac:dyDescent="0.25">
      <c r="D932" s="1"/>
      <c r="E932" s="2"/>
      <c r="F932" s="1"/>
      <c r="G932" s="1"/>
      <c r="H932" s="1"/>
      <c r="I932" s="1"/>
      <c r="J932" s="1"/>
      <c r="K932" s="1"/>
    </row>
    <row r="933" spans="4:11" ht="15" customHeight="1" x14ac:dyDescent="0.25">
      <c r="D933" s="1"/>
      <c r="E933" s="2"/>
      <c r="F933" s="1"/>
      <c r="G933" s="1"/>
      <c r="H933" s="1"/>
      <c r="I933" s="1"/>
      <c r="J933" s="1"/>
      <c r="K933" s="1"/>
    </row>
    <row r="934" spans="4:11" ht="15" customHeight="1" x14ac:dyDescent="0.25">
      <c r="D934" s="1"/>
      <c r="E934" s="2"/>
      <c r="F934" s="1"/>
      <c r="G934" s="1"/>
      <c r="H934" s="1"/>
      <c r="I934" s="1"/>
      <c r="J934" s="1"/>
      <c r="K934" s="1"/>
    </row>
    <row r="935" spans="4:11" ht="15" customHeight="1" x14ac:dyDescent="0.25">
      <c r="D935" s="1"/>
      <c r="E935" s="2"/>
      <c r="F935" s="1"/>
      <c r="G935" s="1"/>
      <c r="H935" s="1"/>
      <c r="I935" s="1"/>
      <c r="J935" s="1"/>
      <c r="K935" s="1"/>
    </row>
    <row r="936" spans="4:11" ht="15" customHeight="1" x14ac:dyDescent="0.25">
      <c r="D936" s="1"/>
      <c r="E936" s="2"/>
      <c r="F936" s="1"/>
      <c r="G936" s="1"/>
      <c r="H936" s="1"/>
      <c r="I936" s="1"/>
      <c r="J936" s="1"/>
      <c r="K936" s="1"/>
    </row>
    <row r="937" spans="4:11" ht="15" customHeight="1" x14ac:dyDescent="0.25">
      <c r="D937" s="1"/>
      <c r="E937" s="2"/>
      <c r="F937" s="1"/>
      <c r="G937" s="1"/>
      <c r="H937" s="1"/>
      <c r="I937" s="1"/>
      <c r="J937" s="1"/>
      <c r="K937" s="1"/>
    </row>
    <row r="938" spans="4:11" ht="15" customHeight="1" x14ac:dyDescent="0.25">
      <c r="D938" s="1"/>
      <c r="E938" s="2"/>
      <c r="F938" s="1"/>
      <c r="G938" s="1"/>
      <c r="H938" s="1"/>
      <c r="I938" s="1"/>
      <c r="J938" s="1"/>
      <c r="K938" s="1"/>
    </row>
    <row r="939" spans="4:11" ht="15" customHeight="1" x14ac:dyDescent="0.25">
      <c r="D939" s="1"/>
      <c r="E939" s="2"/>
      <c r="F939" s="1"/>
      <c r="G939" s="1"/>
      <c r="H939" s="1"/>
      <c r="I939" s="1"/>
      <c r="J939" s="1"/>
      <c r="K939" s="1"/>
    </row>
    <row r="940" spans="4:11" ht="15" customHeight="1" x14ac:dyDescent="0.25">
      <c r="D940" s="1"/>
      <c r="E940" s="2"/>
      <c r="F940" s="1"/>
      <c r="G940" s="1"/>
      <c r="H940" s="1"/>
      <c r="I940" s="1"/>
      <c r="J940" s="1"/>
      <c r="K940" s="1"/>
    </row>
    <row r="941" spans="4:11" ht="15" customHeight="1" x14ac:dyDescent="0.25">
      <c r="D941" s="1"/>
      <c r="E941" s="2"/>
      <c r="F941" s="1"/>
      <c r="G941" s="1"/>
      <c r="H941" s="1"/>
      <c r="I941" s="1"/>
      <c r="J941" s="1"/>
      <c r="K941" s="1"/>
    </row>
    <row r="942" spans="4:11" ht="15" customHeight="1" x14ac:dyDescent="0.25">
      <c r="D942" s="1"/>
      <c r="E942" s="2"/>
      <c r="F942" s="1"/>
      <c r="G942" s="1"/>
      <c r="H942" s="1"/>
      <c r="I942" s="1"/>
      <c r="J942" s="1"/>
      <c r="K942" s="1"/>
    </row>
    <row r="943" spans="4:11" ht="15" customHeight="1" x14ac:dyDescent="0.25">
      <c r="D943" s="1"/>
      <c r="E943" s="2"/>
      <c r="F943" s="1"/>
      <c r="G943" s="1"/>
      <c r="H943" s="1"/>
      <c r="I943" s="1"/>
      <c r="J943" s="1"/>
      <c r="K943" s="1"/>
    </row>
    <row r="944" spans="4:11" ht="15" customHeight="1" x14ac:dyDescent="0.25">
      <c r="D944" s="1"/>
      <c r="E944" s="2"/>
      <c r="F944" s="1"/>
      <c r="G944" s="1"/>
      <c r="H944" s="1"/>
      <c r="I944" s="1"/>
      <c r="J944" s="1"/>
      <c r="K944" s="1"/>
    </row>
    <row r="945" spans="4:11" ht="15" customHeight="1" x14ac:dyDescent="0.25">
      <c r="D945" s="1"/>
      <c r="E945" s="2"/>
      <c r="F945" s="1"/>
      <c r="G945" s="1"/>
      <c r="H945" s="1"/>
      <c r="I945" s="1"/>
      <c r="J945" s="1"/>
      <c r="K945" s="1"/>
    </row>
    <row r="946" spans="4:11" ht="15" customHeight="1" x14ac:dyDescent="0.25">
      <c r="D946" s="1"/>
      <c r="E946" s="2"/>
      <c r="F946" s="1"/>
      <c r="G946" s="1"/>
      <c r="H946" s="1"/>
      <c r="I946" s="1"/>
      <c r="J946" s="1"/>
      <c r="K946" s="1"/>
    </row>
    <row r="947" spans="4:11" ht="15" customHeight="1" x14ac:dyDescent="0.25">
      <c r="D947" s="1"/>
      <c r="E947" s="2"/>
      <c r="F947" s="1"/>
      <c r="G947" s="1"/>
      <c r="H947" s="1"/>
      <c r="I947" s="1"/>
      <c r="J947" s="1"/>
      <c r="K947" s="1"/>
    </row>
  </sheetData>
  <mergeCells count="1">
    <mergeCell ref="A2:F2"/>
  </mergeCells>
  <pageMargins left="1.6929133858267718" right="0" top="0.74803149606299213" bottom="0.74803149606299213" header="0.31496062992125984" footer="0.31496062992125984"/>
  <pageSetup paperSize="5" orientation="landscape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3ACD-15C7-454A-9544-010EC196CDF8}">
  <sheetPr>
    <tabColor theme="4"/>
  </sheetPr>
  <dimension ref="A1:E5"/>
  <sheetViews>
    <sheetView workbookViewId="0">
      <selection activeCell="J16" sqref="J16"/>
    </sheetView>
  </sheetViews>
  <sheetFormatPr baseColWidth="10" defaultRowHeight="15" x14ac:dyDescent="0.25"/>
  <cols>
    <col min="1" max="1" width="15.5703125" customWidth="1"/>
    <col min="2" max="2" width="32.28515625" customWidth="1"/>
    <col min="3" max="3" width="14.85546875" customWidth="1"/>
    <col min="4" max="5" width="17" customWidth="1"/>
  </cols>
  <sheetData>
    <row r="1" spans="1:5" x14ac:dyDescent="0.25">
      <c r="A1" s="95" t="s">
        <v>808</v>
      </c>
      <c r="B1" s="95"/>
      <c r="C1" s="95"/>
      <c r="D1" s="95"/>
      <c r="E1" s="95"/>
    </row>
    <row r="2" spans="1:5" ht="42.75" customHeight="1" x14ac:dyDescent="0.25">
      <c r="A2" s="4" t="s">
        <v>0</v>
      </c>
      <c r="B2" s="4" t="s">
        <v>1</v>
      </c>
      <c r="C2" s="4" t="s">
        <v>803</v>
      </c>
      <c r="D2" s="4" t="s">
        <v>3</v>
      </c>
      <c r="E2" s="4" t="s">
        <v>4</v>
      </c>
    </row>
    <row r="3" spans="1:5" ht="15" customHeight="1" x14ac:dyDescent="0.25">
      <c r="A3" s="51" t="s">
        <v>802</v>
      </c>
      <c r="B3" s="49" t="s">
        <v>679</v>
      </c>
      <c r="C3" s="46">
        <v>12</v>
      </c>
      <c r="D3" s="45">
        <v>46038</v>
      </c>
      <c r="E3" s="45">
        <v>46068</v>
      </c>
    </row>
    <row r="4" spans="1:5" ht="15" customHeight="1" x14ac:dyDescent="0.25">
      <c r="A4" s="48" t="s">
        <v>804</v>
      </c>
      <c r="B4" s="47" t="s">
        <v>805</v>
      </c>
      <c r="C4" s="46">
        <v>12</v>
      </c>
      <c r="D4" s="45">
        <v>46038</v>
      </c>
      <c r="E4" s="45">
        <v>46068</v>
      </c>
    </row>
    <row r="5" spans="1:5" ht="15" customHeight="1" x14ac:dyDescent="0.25">
      <c r="A5" s="48" t="s">
        <v>806</v>
      </c>
      <c r="B5" s="47" t="s">
        <v>807</v>
      </c>
      <c r="C5" s="46">
        <v>6</v>
      </c>
      <c r="D5" s="45">
        <v>46038</v>
      </c>
      <c r="E5" s="45">
        <v>46068</v>
      </c>
    </row>
  </sheetData>
  <mergeCells count="1">
    <mergeCell ref="A1:E1"/>
  </mergeCells>
  <pageMargins left="1.6929133858267718" right="0.70866141732283472" top="0.74803149606299213" bottom="0.74803149606299213" header="0.31496062992125984" footer="0.31496062992125984"/>
  <pageSetup paperSize="5" orientation="landscape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CCC31-297B-4BE4-9441-E6E0C8383BEB}">
  <sheetPr>
    <tabColor theme="4"/>
  </sheetPr>
  <dimension ref="A2:D52"/>
  <sheetViews>
    <sheetView workbookViewId="0">
      <selection activeCell="G18" sqref="G18"/>
    </sheetView>
  </sheetViews>
  <sheetFormatPr baseColWidth="10" defaultRowHeight="15.75" x14ac:dyDescent="0.25"/>
  <cols>
    <col min="1" max="1" width="13.85546875" style="73" customWidth="1"/>
    <col min="2" max="2" width="25.42578125" style="73" customWidth="1"/>
    <col min="3" max="3" width="32.42578125" style="73" customWidth="1"/>
    <col min="4" max="4" width="17.42578125" style="73" customWidth="1"/>
    <col min="5" max="16384" width="11.42578125" style="73"/>
  </cols>
  <sheetData>
    <row r="2" spans="1:4" x14ac:dyDescent="0.25">
      <c r="A2" s="96" t="s">
        <v>809</v>
      </c>
      <c r="B2" s="96"/>
      <c r="C2" s="96"/>
      <c r="D2" s="96"/>
    </row>
    <row r="4" spans="1:4" ht="37.5" customHeight="1" x14ac:dyDescent="0.25">
      <c r="A4" s="79" t="s">
        <v>0</v>
      </c>
      <c r="B4" s="74" t="s">
        <v>810</v>
      </c>
      <c r="C4" s="75" t="s">
        <v>811</v>
      </c>
      <c r="D4" s="75" t="s">
        <v>812</v>
      </c>
    </row>
    <row r="5" spans="1:4" ht="20.100000000000001" customHeight="1" x14ac:dyDescent="0.25">
      <c r="A5" s="80" t="s">
        <v>813</v>
      </c>
      <c r="B5" s="78" t="s">
        <v>814</v>
      </c>
      <c r="C5" s="76" t="s">
        <v>815</v>
      </c>
      <c r="D5" s="77" t="s">
        <v>816</v>
      </c>
    </row>
    <row r="6" spans="1:4" ht="20.100000000000001" customHeight="1" x14ac:dyDescent="0.25">
      <c r="A6" s="80" t="s">
        <v>139</v>
      </c>
      <c r="B6" s="78" t="s">
        <v>817</v>
      </c>
      <c r="C6" s="76" t="s">
        <v>818</v>
      </c>
      <c r="D6" s="77" t="s">
        <v>819</v>
      </c>
    </row>
    <row r="7" spans="1:4" ht="20.100000000000001" customHeight="1" x14ac:dyDescent="0.25">
      <c r="A7" s="80" t="s">
        <v>206</v>
      </c>
      <c r="B7" s="78" t="s">
        <v>820</v>
      </c>
      <c r="C7" s="76" t="s">
        <v>821</v>
      </c>
      <c r="D7" s="77" t="s">
        <v>822</v>
      </c>
    </row>
    <row r="8" spans="1:4" ht="20.100000000000001" customHeight="1" x14ac:dyDescent="0.25">
      <c r="A8" s="80" t="s">
        <v>230</v>
      </c>
      <c r="B8" s="78" t="s">
        <v>823</v>
      </c>
      <c r="C8" s="76" t="s">
        <v>824</v>
      </c>
      <c r="D8" s="77" t="s">
        <v>825</v>
      </c>
    </row>
    <row r="9" spans="1:4" ht="20.100000000000001" customHeight="1" x14ac:dyDescent="0.25">
      <c r="A9" s="80" t="s">
        <v>433</v>
      </c>
      <c r="B9" s="78" t="s">
        <v>826</v>
      </c>
      <c r="C9" s="76" t="s">
        <v>827</v>
      </c>
      <c r="D9" s="77" t="s">
        <v>828</v>
      </c>
    </row>
    <row r="10" spans="1:4" ht="20.100000000000001" customHeight="1" x14ac:dyDescent="0.25">
      <c r="A10" s="80" t="s">
        <v>267</v>
      </c>
      <c r="B10" s="78" t="s">
        <v>829</v>
      </c>
      <c r="C10" s="76" t="s">
        <v>830</v>
      </c>
      <c r="D10" s="77" t="s">
        <v>828</v>
      </c>
    </row>
    <row r="11" spans="1:4" ht="20.100000000000001" customHeight="1" x14ac:dyDescent="0.25">
      <c r="A11" s="80" t="s">
        <v>831</v>
      </c>
      <c r="B11" s="78" t="s">
        <v>832</v>
      </c>
      <c r="C11" s="76" t="s">
        <v>833</v>
      </c>
      <c r="D11" s="77" t="s">
        <v>834</v>
      </c>
    </row>
    <row r="12" spans="1:4" ht="20.100000000000001" customHeight="1" x14ac:dyDescent="0.25">
      <c r="A12" s="80" t="s">
        <v>466</v>
      </c>
      <c r="B12" s="78" t="s">
        <v>835</v>
      </c>
      <c r="C12" s="76" t="s">
        <v>836</v>
      </c>
      <c r="D12" s="77" t="s">
        <v>837</v>
      </c>
    </row>
    <row r="13" spans="1:4" ht="20.100000000000001" customHeight="1" x14ac:dyDescent="0.25">
      <c r="A13" s="80" t="s">
        <v>378</v>
      </c>
      <c r="B13" s="78" t="s">
        <v>838</v>
      </c>
      <c r="C13" s="76" t="s">
        <v>839</v>
      </c>
      <c r="D13" s="77" t="s">
        <v>840</v>
      </c>
    </row>
    <row r="14" spans="1:4" ht="20.100000000000001" customHeight="1" x14ac:dyDescent="0.25">
      <c r="A14" s="80" t="s">
        <v>33</v>
      </c>
      <c r="B14" s="78" t="s">
        <v>841</v>
      </c>
      <c r="C14" s="76" t="s">
        <v>842</v>
      </c>
      <c r="D14" s="77" t="s">
        <v>843</v>
      </c>
    </row>
    <row r="15" spans="1:4" ht="20.100000000000001" customHeight="1" x14ac:dyDescent="0.25">
      <c r="A15" s="80" t="s">
        <v>844</v>
      </c>
      <c r="B15" s="78" t="s">
        <v>845</v>
      </c>
      <c r="C15" s="76" t="s">
        <v>846</v>
      </c>
      <c r="D15" s="77" t="s">
        <v>847</v>
      </c>
    </row>
    <row r="16" spans="1:4" ht="20.100000000000001" customHeight="1" x14ac:dyDescent="0.25">
      <c r="A16" s="80" t="s">
        <v>848</v>
      </c>
      <c r="B16" s="78" t="s">
        <v>849</v>
      </c>
      <c r="C16" s="76" t="s">
        <v>850</v>
      </c>
      <c r="D16" s="77" t="s">
        <v>828</v>
      </c>
    </row>
    <row r="17" spans="1:4" ht="20.100000000000001" customHeight="1" x14ac:dyDescent="0.25">
      <c r="A17" s="80" t="s">
        <v>851</v>
      </c>
      <c r="B17" s="78" t="s">
        <v>852</v>
      </c>
      <c r="C17" s="76" t="s">
        <v>853</v>
      </c>
      <c r="D17" s="77" t="s">
        <v>854</v>
      </c>
    </row>
    <row r="18" spans="1:4" ht="20.100000000000001" customHeight="1" x14ac:dyDescent="0.25">
      <c r="A18" s="80" t="s">
        <v>146</v>
      </c>
      <c r="B18" s="78" t="s">
        <v>855</v>
      </c>
      <c r="C18" s="76" t="s">
        <v>856</v>
      </c>
      <c r="D18" s="77" t="s">
        <v>857</v>
      </c>
    </row>
    <row r="19" spans="1:4" ht="20.100000000000001" customHeight="1" x14ac:dyDescent="0.25">
      <c r="A19" s="80" t="s">
        <v>800</v>
      </c>
      <c r="B19" s="78" t="s">
        <v>858</v>
      </c>
      <c r="C19" s="76" t="s">
        <v>859</v>
      </c>
      <c r="D19" s="77" t="s">
        <v>860</v>
      </c>
    </row>
    <row r="20" spans="1:4" ht="20.100000000000001" customHeight="1" x14ac:dyDescent="0.25">
      <c r="A20" s="80" t="s">
        <v>10</v>
      </c>
      <c r="B20" s="78" t="s">
        <v>861</v>
      </c>
      <c r="C20" s="76" t="s">
        <v>862</v>
      </c>
      <c r="D20" s="77" t="s">
        <v>863</v>
      </c>
    </row>
    <row r="21" spans="1:4" ht="20.100000000000001" customHeight="1" x14ac:dyDescent="0.25">
      <c r="A21" s="80" t="s">
        <v>167</v>
      </c>
      <c r="B21" s="78" t="s">
        <v>864</v>
      </c>
      <c r="C21" s="76" t="s">
        <v>865</v>
      </c>
      <c r="D21" s="77" t="s">
        <v>866</v>
      </c>
    </row>
    <row r="22" spans="1:4" ht="20.100000000000001" customHeight="1" x14ac:dyDescent="0.25">
      <c r="A22" s="80" t="s">
        <v>232</v>
      </c>
      <c r="B22" s="78" t="s">
        <v>867</v>
      </c>
      <c r="C22" s="76" t="s">
        <v>868</v>
      </c>
      <c r="D22" s="77" t="s">
        <v>869</v>
      </c>
    </row>
    <row r="23" spans="1:4" ht="20.100000000000001" customHeight="1" x14ac:dyDescent="0.25">
      <c r="A23" s="80" t="s">
        <v>870</v>
      </c>
      <c r="B23" s="78" t="s">
        <v>871</v>
      </c>
      <c r="C23" s="76" t="s">
        <v>872</v>
      </c>
      <c r="D23" s="77" t="s">
        <v>873</v>
      </c>
    </row>
    <row r="24" spans="1:4" ht="20.100000000000001" customHeight="1" x14ac:dyDescent="0.25">
      <c r="A24" s="80" t="s">
        <v>874</v>
      </c>
      <c r="B24" s="78" t="s">
        <v>875</v>
      </c>
      <c r="C24" s="76" t="s">
        <v>876</v>
      </c>
      <c r="D24" s="77" t="s">
        <v>828</v>
      </c>
    </row>
    <row r="25" spans="1:4" ht="20.100000000000001" customHeight="1" x14ac:dyDescent="0.25">
      <c r="A25" s="80" t="s">
        <v>877</v>
      </c>
      <c r="B25" s="78" t="s">
        <v>878</v>
      </c>
      <c r="C25" s="76" t="s">
        <v>879</v>
      </c>
      <c r="D25" s="77" t="s">
        <v>880</v>
      </c>
    </row>
    <row r="26" spans="1:4" ht="20.100000000000001" customHeight="1" x14ac:dyDescent="0.25">
      <c r="A26" s="80" t="s">
        <v>881</v>
      </c>
      <c r="B26" s="78" t="s">
        <v>882</v>
      </c>
      <c r="C26" s="76" t="s">
        <v>883</v>
      </c>
      <c r="D26" s="77" t="s">
        <v>854</v>
      </c>
    </row>
    <row r="27" spans="1:4" ht="20.100000000000001" customHeight="1" x14ac:dyDescent="0.25">
      <c r="A27" s="80" t="s">
        <v>884</v>
      </c>
      <c r="B27" s="78" t="s">
        <v>885</v>
      </c>
      <c r="C27" s="76" t="s">
        <v>886</v>
      </c>
      <c r="D27" s="77" t="s">
        <v>887</v>
      </c>
    </row>
    <row r="28" spans="1:4" ht="20.100000000000001" customHeight="1" x14ac:dyDescent="0.25">
      <c r="A28" s="80" t="s">
        <v>249</v>
      </c>
      <c r="B28" s="78" t="s">
        <v>888</v>
      </c>
      <c r="C28" s="76" t="s">
        <v>889</v>
      </c>
      <c r="D28" s="77" t="s">
        <v>890</v>
      </c>
    </row>
    <row r="29" spans="1:4" ht="20.100000000000001" customHeight="1" x14ac:dyDescent="0.25">
      <c r="A29" s="80" t="s">
        <v>52</v>
      </c>
      <c r="B29" s="78" t="s">
        <v>891</v>
      </c>
      <c r="C29" s="76" t="s">
        <v>892</v>
      </c>
      <c r="D29" s="77" t="s">
        <v>893</v>
      </c>
    </row>
    <row r="30" spans="1:4" ht="20.100000000000001" customHeight="1" x14ac:dyDescent="0.25">
      <c r="A30" s="80" t="s">
        <v>295</v>
      </c>
      <c r="B30" s="78" t="s">
        <v>894</v>
      </c>
      <c r="C30" s="76" t="s">
        <v>895</v>
      </c>
      <c r="D30" s="77" t="s">
        <v>847</v>
      </c>
    </row>
    <row r="31" spans="1:4" ht="20.100000000000001" customHeight="1" x14ac:dyDescent="0.25">
      <c r="A31" s="80" t="s">
        <v>896</v>
      </c>
      <c r="B31" s="78" t="s">
        <v>897</v>
      </c>
      <c r="C31" s="76" t="s">
        <v>898</v>
      </c>
      <c r="D31" s="77" t="s">
        <v>899</v>
      </c>
    </row>
    <row r="32" spans="1:4" ht="20.100000000000001" customHeight="1" x14ac:dyDescent="0.25">
      <c r="A32" s="80" t="s">
        <v>900</v>
      </c>
      <c r="B32" s="78" t="s">
        <v>901</v>
      </c>
      <c r="C32" s="76" t="s">
        <v>902</v>
      </c>
      <c r="D32" s="77" t="s">
        <v>903</v>
      </c>
    </row>
    <row r="33" spans="1:4" ht="20.100000000000001" customHeight="1" x14ac:dyDescent="0.25">
      <c r="A33" s="80" t="s">
        <v>904</v>
      </c>
      <c r="B33" s="78" t="s">
        <v>905</v>
      </c>
      <c r="C33" s="76" t="s">
        <v>906</v>
      </c>
      <c r="D33" s="77" t="s">
        <v>828</v>
      </c>
    </row>
    <row r="34" spans="1:4" ht="20.100000000000001" customHeight="1" x14ac:dyDescent="0.25">
      <c r="A34" s="80" t="s">
        <v>907</v>
      </c>
      <c r="B34" s="78" t="s">
        <v>908</v>
      </c>
      <c r="C34" s="76" t="s">
        <v>909</v>
      </c>
      <c r="D34" s="77" t="s">
        <v>910</v>
      </c>
    </row>
    <row r="35" spans="1:4" ht="20.100000000000001" customHeight="1" x14ac:dyDescent="0.25">
      <c r="A35" s="80" t="s">
        <v>185</v>
      </c>
      <c r="B35" s="78" t="s">
        <v>911</v>
      </c>
      <c r="C35" s="76" t="s">
        <v>912</v>
      </c>
      <c r="D35" s="77" t="s">
        <v>857</v>
      </c>
    </row>
    <row r="36" spans="1:4" ht="20.100000000000001" customHeight="1" x14ac:dyDescent="0.25">
      <c r="A36" s="80" t="s">
        <v>313</v>
      </c>
      <c r="B36" s="78" t="s">
        <v>913</v>
      </c>
      <c r="C36" s="76" t="s">
        <v>914</v>
      </c>
      <c r="D36" s="77" t="s">
        <v>915</v>
      </c>
    </row>
    <row r="37" spans="1:4" ht="20.100000000000001" customHeight="1" x14ac:dyDescent="0.25">
      <c r="A37" s="80" t="s">
        <v>210</v>
      </c>
      <c r="B37" s="78" t="s">
        <v>916</v>
      </c>
      <c r="C37" s="76" t="s">
        <v>917</v>
      </c>
      <c r="D37" s="77" t="s">
        <v>828</v>
      </c>
    </row>
    <row r="38" spans="1:4" ht="20.100000000000001" customHeight="1" x14ac:dyDescent="0.25">
      <c r="A38" s="80" t="s">
        <v>408</v>
      </c>
      <c r="B38" s="78" t="s">
        <v>918</v>
      </c>
      <c r="C38" s="76" t="s">
        <v>919</v>
      </c>
      <c r="D38" s="77" t="s">
        <v>899</v>
      </c>
    </row>
    <row r="39" spans="1:4" ht="20.100000000000001" customHeight="1" x14ac:dyDescent="0.25">
      <c r="A39" s="80" t="s">
        <v>187</v>
      </c>
      <c r="B39" s="78" t="s">
        <v>920</v>
      </c>
      <c r="C39" s="76" t="s">
        <v>921</v>
      </c>
      <c r="D39" s="77" t="s">
        <v>828</v>
      </c>
    </row>
    <row r="40" spans="1:4" ht="20.100000000000001" customHeight="1" x14ac:dyDescent="0.25">
      <c r="A40" s="80" t="s">
        <v>922</v>
      </c>
      <c r="B40" s="78" t="s">
        <v>923</v>
      </c>
      <c r="C40" s="76" t="s">
        <v>924</v>
      </c>
      <c r="D40" s="77" t="s">
        <v>899</v>
      </c>
    </row>
    <row r="41" spans="1:4" ht="20.100000000000001" customHeight="1" x14ac:dyDescent="0.25">
      <c r="A41" s="80" t="s">
        <v>429</v>
      </c>
      <c r="B41" s="78" t="s">
        <v>925</v>
      </c>
      <c r="C41" s="76" t="s">
        <v>926</v>
      </c>
      <c r="D41" s="77" t="s">
        <v>927</v>
      </c>
    </row>
    <row r="42" spans="1:4" ht="20.100000000000001" customHeight="1" x14ac:dyDescent="0.25">
      <c r="A42" s="80" t="s">
        <v>251</v>
      </c>
      <c r="B42" s="78" t="s">
        <v>928</v>
      </c>
      <c r="C42" s="76" t="s">
        <v>929</v>
      </c>
      <c r="D42" s="77" t="s">
        <v>828</v>
      </c>
    </row>
    <row r="43" spans="1:4" ht="20.100000000000001" customHeight="1" x14ac:dyDescent="0.25">
      <c r="A43" s="80" t="s">
        <v>213</v>
      </c>
      <c r="B43" s="78" t="s">
        <v>930</v>
      </c>
      <c r="C43" s="76" t="s">
        <v>931</v>
      </c>
      <c r="D43" s="77" t="s">
        <v>932</v>
      </c>
    </row>
    <row r="44" spans="1:4" ht="20.100000000000001" customHeight="1" x14ac:dyDescent="0.25">
      <c r="A44" s="80" t="s">
        <v>141</v>
      </c>
      <c r="B44" s="78" t="s">
        <v>933</v>
      </c>
      <c r="C44" s="76" t="s">
        <v>934</v>
      </c>
      <c r="D44" s="77" t="s">
        <v>935</v>
      </c>
    </row>
    <row r="45" spans="1:4" ht="20.100000000000001" customHeight="1" x14ac:dyDescent="0.25">
      <c r="A45" s="80" t="s">
        <v>391</v>
      </c>
      <c r="B45" s="78" t="s">
        <v>936</v>
      </c>
      <c r="C45" s="76" t="s">
        <v>937</v>
      </c>
      <c r="D45" s="77" t="s">
        <v>854</v>
      </c>
    </row>
    <row r="46" spans="1:4" ht="20.100000000000001" customHeight="1" x14ac:dyDescent="0.25">
      <c r="A46" s="80" t="s">
        <v>135</v>
      </c>
      <c r="B46" s="78" t="s">
        <v>938</v>
      </c>
      <c r="C46" s="76" t="s">
        <v>939</v>
      </c>
      <c r="D46" s="77" t="s">
        <v>822</v>
      </c>
    </row>
    <row r="47" spans="1:4" ht="20.100000000000001" customHeight="1" x14ac:dyDescent="0.25">
      <c r="A47" s="80" t="s">
        <v>315</v>
      </c>
      <c r="B47" s="78" t="s">
        <v>940</v>
      </c>
      <c r="C47" s="76" t="s">
        <v>941</v>
      </c>
      <c r="D47" s="77" t="s">
        <v>828</v>
      </c>
    </row>
    <row r="48" spans="1:4" ht="20.100000000000001" customHeight="1" x14ac:dyDescent="0.25">
      <c r="A48" s="80" t="s">
        <v>150</v>
      </c>
      <c r="B48" s="78" t="s">
        <v>942</v>
      </c>
      <c r="C48" s="76" t="s">
        <v>943</v>
      </c>
      <c r="D48" s="77" t="s">
        <v>944</v>
      </c>
    </row>
    <row r="49" spans="1:4" ht="20.100000000000001" customHeight="1" x14ac:dyDescent="0.25">
      <c r="A49" s="80" t="s">
        <v>28</v>
      </c>
      <c r="B49" s="78" t="s">
        <v>945</v>
      </c>
      <c r="C49" s="76" t="s">
        <v>946</v>
      </c>
      <c r="D49" s="77" t="s">
        <v>828</v>
      </c>
    </row>
    <row r="50" spans="1:4" ht="20.100000000000001" customHeight="1" x14ac:dyDescent="0.25">
      <c r="A50" s="80" t="s">
        <v>222</v>
      </c>
      <c r="B50" s="78" t="s">
        <v>947</v>
      </c>
      <c r="C50" s="76" t="s">
        <v>948</v>
      </c>
      <c r="D50" s="77" t="s">
        <v>949</v>
      </c>
    </row>
    <row r="51" spans="1:4" ht="20.100000000000001" customHeight="1" x14ac:dyDescent="0.25">
      <c r="A51" s="80" t="s">
        <v>277</v>
      </c>
      <c r="B51" s="78" t="s">
        <v>950</v>
      </c>
      <c r="C51" s="76" t="s">
        <v>951</v>
      </c>
      <c r="D51" s="77" t="s">
        <v>952</v>
      </c>
    </row>
    <row r="52" spans="1:4" ht="20.100000000000001" customHeight="1" x14ac:dyDescent="0.25">
      <c r="A52" s="80" t="s">
        <v>306</v>
      </c>
      <c r="B52" s="78" t="s">
        <v>953</v>
      </c>
      <c r="C52" s="76" t="s">
        <v>954</v>
      </c>
      <c r="D52" s="77" t="s">
        <v>893</v>
      </c>
    </row>
  </sheetData>
  <mergeCells count="1">
    <mergeCell ref="A2:D2"/>
  </mergeCells>
  <pageMargins left="1.1023622047244095" right="0" top="0.74803149606299213" bottom="1.1417322834645669" header="0.31496062992125984" footer="0.31496062992125984"/>
  <pageSetup paperSize="5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D2E8-190F-4A56-A41E-B3B2938C9E84}">
  <sheetPr>
    <tabColor rgb="FFFFFF00"/>
  </sheetPr>
  <dimension ref="A1:K14"/>
  <sheetViews>
    <sheetView workbookViewId="0">
      <selection activeCell="C5" sqref="C5"/>
    </sheetView>
  </sheetViews>
  <sheetFormatPr baseColWidth="10" defaultRowHeight="15" x14ac:dyDescent="0.25"/>
  <cols>
    <col min="1" max="1" width="12" bestFit="1" customWidth="1"/>
    <col min="2" max="2" width="36.7109375" bestFit="1" customWidth="1"/>
    <col min="3" max="3" width="14" bestFit="1" customWidth="1"/>
    <col min="4" max="4" width="12.85546875" bestFit="1" customWidth="1"/>
    <col min="5" max="5" width="15.42578125" bestFit="1" customWidth="1"/>
    <col min="6" max="6" width="12" bestFit="1" customWidth="1"/>
    <col min="7" max="7" width="12.5703125" bestFit="1" customWidth="1"/>
    <col min="10" max="10" width="14.5703125" bestFit="1" customWidth="1"/>
    <col min="11" max="11" width="11.85546875" bestFit="1" customWidth="1"/>
  </cols>
  <sheetData>
    <row r="1" spans="1:11" x14ac:dyDescent="0.25">
      <c r="A1" s="101" t="s">
        <v>730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</row>
    <row r="2" spans="1:11" x14ac:dyDescent="0.25">
      <c r="A2" s="5"/>
      <c r="B2" s="5"/>
      <c r="C2" s="5"/>
      <c r="D2" s="5"/>
      <c r="E2" s="5"/>
      <c r="F2" s="5"/>
    </row>
    <row r="3" spans="1:11" x14ac:dyDescent="0.25">
      <c r="A3" s="97"/>
      <c r="B3" s="97"/>
      <c r="C3" s="97"/>
      <c r="D3" s="97"/>
      <c r="E3" s="97"/>
      <c r="F3" s="98" t="s">
        <v>20</v>
      </c>
      <c r="G3" s="99"/>
      <c r="H3" s="100"/>
      <c r="I3" s="98" t="s">
        <v>21</v>
      </c>
      <c r="J3" s="99"/>
      <c r="K3" s="100"/>
    </row>
    <row r="4" spans="1:11" ht="46.5" customHeight="1" x14ac:dyDescent="0.25">
      <c r="A4" s="15" t="s">
        <v>0</v>
      </c>
      <c r="B4" s="15" t="s">
        <v>1</v>
      </c>
      <c r="C4" s="16" t="s">
        <v>2</v>
      </c>
      <c r="D4" s="15" t="s">
        <v>3</v>
      </c>
      <c r="E4" s="15" t="s">
        <v>4</v>
      </c>
      <c r="F4" s="15" t="s">
        <v>5</v>
      </c>
      <c r="G4" s="15" t="s">
        <v>6</v>
      </c>
      <c r="H4" s="15" t="s">
        <v>22</v>
      </c>
      <c r="I4" s="15" t="s">
        <v>5</v>
      </c>
      <c r="J4" s="15" t="s">
        <v>7</v>
      </c>
      <c r="K4" s="15" t="s">
        <v>23</v>
      </c>
    </row>
    <row r="5" spans="1:11" x14ac:dyDescent="0.25">
      <c r="A5" s="19" t="s">
        <v>453</v>
      </c>
      <c r="B5" s="19" t="s">
        <v>454</v>
      </c>
      <c r="C5" s="17">
        <f t="shared" ref="C5:C14" si="0">SUM(H5+K5)</f>
        <v>0</v>
      </c>
      <c r="D5" s="18">
        <v>45977</v>
      </c>
      <c r="E5" s="22">
        <v>46006</v>
      </c>
      <c r="F5" s="20"/>
      <c r="G5" s="17">
        <v>12171</v>
      </c>
      <c r="H5" s="17">
        <f t="shared" ref="H5:H14" si="1">SUM(F5*G5)*24</f>
        <v>0</v>
      </c>
      <c r="I5" s="7"/>
      <c r="J5" s="17">
        <v>12962</v>
      </c>
      <c r="K5" s="7">
        <f t="shared" ref="K5:K14" si="2">SUM(I5*J5)*24</f>
        <v>0</v>
      </c>
    </row>
    <row r="6" spans="1:11" x14ac:dyDescent="0.25">
      <c r="A6" s="22" t="s">
        <v>423</v>
      </c>
      <c r="B6" s="19" t="s">
        <v>424</v>
      </c>
      <c r="C6" s="17">
        <f t="shared" si="0"/>
        <v>12171</v>
      </c>
      <c r="D6" s="18">
        <v>46007</v>
      </c>
      <c r="E6" s="22">
        <v>46022</v>
      </c>
      <c r="F6" s="20">
        <v>4.1666666666666664E-2</v>
      </c>
      <c r="G6" s="17">
        <v>12171</v>
      </c>
      <c r="H6" s="17">
        <f t="shared" si="1"/>
        <v>12171</v>
      </c>
      <c r="I6" s="7"/>
      <c r="J6" s="17">
        <v>25008</v>
      </c>
      <c r="K6" s="7">
        <f t="shared" si="2"/>
        <v>0</v>
      </c>
    </row>
    <row r="7" spans="1:11" x14ac:dyDescent="0.25">
      <c r="A7" s="19" t="s">
        <v>470</v>
      </c>
      <c r="B7" s="19" t="s">
        <v>471</v>
      </c>
      <c r="C7" s="17">
        <f t="shared" ref="C7" si="3">SUM(H7+K7)</f>
        <v>0</v>
      </c>
      <c r="D7" s="18">
        <v>45977</v>
      </c>
      <c r="E7" s="22">
        <v>46006</v>
      </c>
      <c r="F7" s="20"/>
      <c r="G7" s="17">
        <v>12171</v>
      </c>
      <c r="H7" s="17">
        <f t="shared" ref="H7" si="4">SUM(F7*G7)*24</f>
        <v>0</v>
      </c>
      <c r="I7" s="7"/>
      <c r="J7" s="17">
        <v>12962</v>
      </c>
      <c r="K7" s="7">
        <f t="shared" ref="K7" si="5">SUM(I7*J7)*24</f>
        <v>0</v>
      </c>
    </row>
    <row r="8" spans="1:11" x14ac:dyDescent="0.25">
      <c r="A8" s="19" t="s">
        <v>426</v>
      </c>
      <c r="B8" s="19" t="s">
        <v>74</v>
      </c>
      <c r="C8" s="17">
        <f t="shared" si="0"/>
        <v>0</v>
      </c>
      <c r="D8" s="18">
        <v>45977</v>
      </c>
      <c r="E8" s="22">
        <v>46006</v>
      </c>
      <c r="F8" s="20"/>
      <c r="G8" s="17">
        <v>12171</v>
      </c>
      <c r="H8" s="17">
        <f t="shared" si="1"/>
        <v>0</v>
      </c>
      <c r="I8" s="7"/>
      <c r="J8" s="17">
        <v>12962</v>
      </c>
      <c r="K8" s="7">
        <f t="shared" si="2"/>
        <v>0</v>
      </c>
    </row>
    <row r="9" spans="1:11" x14ac:dyDescent="0.25">
      <c r="A9" s="19" t="s">
        <v>456</v>
      </c>
      <c r="B9" s="19" t="s">
        <v>151</v>
      </c>
      <c r="C9" s="17">
        <f t="shared" si="0"/>
        <v>0</v>
      </c>
      <c r="D9" s="18">
        <v>45977</v>
      </c>
      <c r="E9" s="22">
        <v>46006</v>
      </c>
      <c r="F9" s="20"/>
      <c r="G9" s="17">
        <v>12171</v>
      </c>
      <c r="H9" s="17">
        <f t="shared" si="1"/>
        <v>0</v>
      </c>
      <c r="I9" s="7"/>
      <c r="J9" s="17">
        <v>12962</v>
      </c>
      <c r="K9" s="7">
        <f t="shared" si="2"/>
        <v>0</v>
      </c>
    </row>
    <row r="10" spans="1:11" x14ac:dyDescent="0.25">
      <c r="A10" s="19" t="s">
        <v>459</v>
      </c>
      <c r="B10" s="19" t="s">
        <v>460</v>
      </c>
      <c r="C10" s="17">
        <f t="shared" si="0"/>
        <v>0</v>
      </c>
      <c r="D10" s="18">
        <v>45977</v>
      </c>
      <c r="E10" s="22">
        <v>46006</v>
      </c>
      <c r="F10" s="20"/>
      <c r="G10" s="17">
        <v>12171</v>
      </c>
      <c r="H10" s="17">
        <f t="shared" si="1"/>
        <v>0</v>
      </c>
      <c r="I10" s="7"/>
      <c r="J10" s="17">
        <v>12962</v>
      </c>
      <c r="K10" s="7">
        <f t="shared" si="2"/>
        <v>0</v>
      </c>
    </row>
    <row r="11" spans="1:11" x14ac:dyDescent="0.25">
      <c r="A11" s="19" t="s">
        <v>425</v>
      </c>
      <c r="B11" s="19" t="s">
        <v>221</v>
      </c>
      <c r="C11" s="17">
        <f t="shared" si="0"/>
        <v>0</v>
      </c>
      <c r="D11" s="18">
        <v>45977</v>
      </c>
      <c r="E11" s="22">
        <v>46006</v>
      </c>
      <c r="F11" s="20"/>
      <c r="G11" s="17">
        <v>12171</v>
      </c>
      <c r="H11" s="17">
        <f t="shared" si="1"/>
        <v>0</v>
      </c>
      <c r="I11" s="7"/>
      <c r="J11" s="17">
        <v>12962</v>
      </c>
      <c r="K11" s="7">
        <f t="shared" si="2"/>
        <v>0</v>
      </c>
    </row>
    <row r="12" spans="1:11" x14ac:dyDescent="0.25">
      <c r="A12" s="19" t="s">
        <v>421</v>
      </c>
      <c r="B12" s="19" t="s">
        <v>422</v>
      </c>
      <c r="C12" s="17">
        <f t="shared" si="0"/>
        <v>0</v>
      </c>
      <c r="D12" s="18">
        <v>45977</v>
      </c>
      <c r="E12" s="22">
        <v>46006</v>
      </c>
      <c r="F12" s="20"/>
      <c r="G12" s="17">
        <v>20632</v>
      </c>
      <c r="H12" s="17">
        <f t="shared" si="1"/>
        <v>0</v>
      </c>
      <c r="I12" s="7"/>
      <c r="J12" s="17">
        <v>25008</v>
      </c>
      <c r="K12" s="7">
        <f t="shared" si="2"/>
        <v>0</v>
      </c>
    </row>
    <row r="13" spans="1:11" x14ac:dyDescent="0.25">
      <c r="A13" s="19" t="s">
        <v>457</v>
      </c>
      <c r="B13" s="19" t="s">
        <v>458</v>
      </c>
      <c r="C13" s="17">
        <f t="shared" si="0"/>
        <v>0</v>
      </c>
      <c r="D13" s="18">
        <v>45977</v>
      </c>
      <c r="E13" s="22">
        <v>46006</v>
      </c>
      <c r="F13" s="20"/>
      <c r="G13" s="17">
        <v>12171</v>
      </c>
      <c r="H13" s="17">
        <f t="shared" si="1"/>
        <v>0</v>
      </c>
      <c r="I13" s="7"/>
      <c r="J13" s="17">
        <v>12962</v>
      </c>
      <c r="K13" s="7">
        <f t="shared" si="2"/>
        <v>0</v>
      </c>
    </row>
    <row r="14" spans="1:11" x14ac:dyDescent="0.25">
      <c r="A14" s="19" t="s">
        <v>423</v>
      </c>
      <c r="B14" s="19" t="s">
        <v>424</v>
      </c>
      <c r="C14" s="17">
        <f t="shared" si="0"/>
        <v>0</v>
      </c>
      <c r="D14" s="18">
        <v>45977</v>
      </c>
      <c r="E14" s="22">
        <v>46006</v>
      </c>
      <c r="F14" s="20"/>
      <c r="G14" s="17">
        <v>12171</v>
      </c>
      <c r="H14" s="17">
        <f t="shared" si="1"/>
        <v>0</v>
      </c>
      <c r="I14" s="7"/>
      <c r="J14" s="17">
        <v>12962</v>
      </c>
      <c r="K14" s="7">
        <f t="shared" si="2"/>
        <v>0</v>
      </c>
    </row>
  </sheetData>
  <autoFilter ref="A4:K14" xr:uid="{9923D2E8-190F-4A56-A41E-B3B2938C9E84}">
    <sortState xmlns:xlrd2="http://schemas.microsoft.com/office/spreadsheetml/2017/richdata2" ref="A5:K14">
      <sortCondition ref="B5:B14"/>
    </sortState>
  </autoFilter>
  <mergeCells count="4">
    <mergeCell ref="A3:E3"/>
    <mergeCell ref="F3:H3"/>
    <mergeCell ref="I3:K3"/>
    <mergeCell ref="A1:K1"/>
  </mergeCells>
  <pageMargins left="1.1023622047244095" right="0" top="0.74803149606299213" bottom="0.74803149606299213" header="0.31496062992125984" footer="0.31496062992125984"/>
  <pageSetup paperSize="5" scale="90" orientation="landscape" horizontalDpi="4294967293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8"/>
  <dimension ref="A21:A1000"/>
  <sheetViews>
    <sheetView workbookViewId="0"/>
  </sheetViews>
  <sheetFormatPr baseColWidth="10" defaultColWidth="14.42578125" defaultRowHeight="15" customHeight="1" x14ac:dyDescent="0.25"/>
  <cols>
    <col min="1" max="26" width="10" customWidth="1"/>
  </cols>
  <sheetData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Hoja3</vt:lpstr>
      <vt:lpstr>Hoja2</vt:lpstr>
      <vt:lpstr>Hoja5</vt:lpstr>
      <vt:lpstr>Hoja6</vt:lpstr>
      <vt:lpstr>Hoja4</vt:lpstr>
      <vt:lpstr>HORAS EXTRAS 25%</vt:lpstr>
      <vt:lpstr>HORAS EXTRAS 50%</vt:lpstr>
      <vt:lpstr>HORAS EXTRAS SAR</vt:lpstr>
      <vt:lpstr>VIÁTICOS</vt:lpstr>
      <vt:lpstr>CIRUGIA MENOR</vt:lpstr>
      <vt:lpstr>SALUD MENTAL SAR</vt:lpstr>
      <vt:lpstr>ATRASOS FUNCIONARIOS</vt:lpstr>
      <vt:lpstr>ECICEP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DIRECTORA</dc:creator>
  <cp:lastModifiedBy>SECRETARIA</cp:lastModifiedBy>
  <cp:lastPrinted>2026-02-18T22:47:50Z</cp:lastPrinted>
  <dcterms:created xsi:type="dcterms:W3CDTF">2015-09-21T15:37:31Z</dcterms:created>
  <dcterms:modified xsi:type="dcterms:W3CDTF">2026-02-18T22:50:25Z</dcterms:modified>
</cp:coreProperties>
</file>