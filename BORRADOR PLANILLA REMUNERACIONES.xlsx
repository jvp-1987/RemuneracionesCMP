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lip\OneDrive\Desktop\"/>
    </mc:Choice>
  </mc:AlternateContent>
  <bookViews>
    <workbookView xWindow="0" yWindow="0" windowWidth="23040" windowHeight="9072" tabRatio="920" firstSheet="5" activeTab="5"/>
  </bookViews>
  <sheets>
    <sheet name="Hoja3" sheetId="2" state="hidden" r:id="rId1"/>
    <sheet name="Hoja2" sheetId="3" state="hidden" r:id="rId2"/>
    <sheet name="Hoja5" sheetId="6" state="hidden" r:id="rId3"/>
    <sheet name="Hoja6" sheetId="7" state="hidden" r:id="rId4"/>
    <sheet name="Hoja4" sheetId="18" state="hidden" r:id="rId5"/>
    <sheet name="HORAS EXTRAS PRESUPUESTARIA" sheetId="12" r:id="rId6"/>
    <sheet name="VIÁTICOS" sheetId="20" r:id="rId7"/>
    <sheet name="ATRASOS" sheetId="27" r:id="rId8"/>
    <sheet name="PROG. SUR CHOSHUENCO" sheetId="37" r:id="rId9"/>
    <sheet name="PROG. SUR NELTUME" sheetId="36" r:id="rId10"/>
    <sheet name="PROG. PIREHUEICO" sheetId="35" r:id="rId11"/>
    <sheet name="PROG. SUR COÑARIPE" sheetId="34" r:id="rId12"/>
    <sheet name="PROG. SAPU VERANO COÑARIPE" sheetId="38" r:id="rId13"/>
    <sheet name="PROG. SUR LIQUIÑE " sheetId="33" r:id="rId14"/>
    <sheet name="PR. RES. CIRUGÍA MENOR" sheetId="32" r:id="rId15"/>
    <sheet name="LISTADO DE PROGRAMAS APS 2026 " sheetId="28" r:id="rId16"/>
    <sheet name="HORAS EXTRAS PROG. 1" sheetId="42" r:id="rId17"/>
    <sheet name="HORAS EXTRAS PROG. 2" sheetId="43" r:id="rId18"/>
    <sheet name="HORAS EXTRAS PROG. 3" sheetId="44" r:id="rId19"/>
    <sheet name="HORAS EXTRAS PROG. 4" sheetId="51" r:id="rId20"/>
    <sheet name="HORAS EXTRAS PROG. 4,1" sheetId="50" r:id="rId21"/>
    <sheet name="HORAS EXTRAS PROG. 4,2" sheetId="49" r:id="rId22"/>
    <sheet name="HORAS EXTRAS PROG. 5" sheetId="48" r:id="rId23"/>
    <sheet name="HORAS EXTRAS PROG. 6" sheetId="47" r:id="rId24"/>
    <sheet name="HORAS EXTRAS PROG. 7" sheetId="46" r:id="rId25"/>
    <sheet name="HORAS EXTRAS PROG. 9" sheetId="53" r:id="rId26"/>
    <sheet name="HORAS EXTRAS PROG. 8" sheetId="45" r:id="rId27"/>
    <sheet name="HORAS EXTRAS PROG. 9,1" sheetId="52" r:id="rId28"/>
    <sheet name="HORAS EXTRAS PROG. 10" sheetId="54" r:id="rId29"/>
    <sheet name="Hoja1" sheetId="15" state="hidden" r:id="rId30"/>
  </sheets>
  <definedNames>
    <definedName name="_xlnm._FilterDatabase" localSheetId="7" hidden="1">ATRASOS!$B$4:$F$58</definedName>
    <definedName name="_xlnm._FilterDatabase" localSheetId="5" hidden="1">'HORAS EXTRAS PRESUPUESTARIA'!$B$6:$G$43</definedName>
    <definedName name="_xlnm._FilterDatabase" localSheetId="16" hidden="1">'HORAS EXTRAS PROG. 1'!$B$5:$G$42</definedName>
    <definedName name="_xlnm._FilterDatabase" localSheetId="28" hidden="1">'HORAS EXTRAS PROG. 10'!$B$5:$G$42</definedName>
    <definedName name="_xlnm._FilterDatabase" localSheetId="17" hidden="1">'HORAS EXTRAS PROG. 2'!$B$5:$G$42</definedName>
    <definedName name="_xlnm._FilterDatabase" localSheetId="18" hidden="1">'HORAS EXTRAS PROG. 3'!$B$5:$G$42</definedName>
    <definedName name="_xlnm._FilterDatabase" localSheetId="19" hidden="1">'HORAS EXTRAS PROG. 4'!$B$5:$G$42</definedName>
    <definedName name="_xlnm._FilterDatabase" localSheetId="20" hidden="1">'HORAS EXTRAS PROG. 4,1'!$B$5:$G$42</definedName>
    <definedName name="_xlnm._FilterDatabase" localSheetId="21" hidden="1">'HORAS EXTRAS PROG. 4,2'!$B$5:$G$42</definedName>
    <definedName name="_xlnm._FilterDatabase" localSheetId="22" hidden="1">'HORAS EXTRAS PROG. 5'!$B$5:$G$42</definedName>
    <definedName name="_xlnm._FilterDatabase" localSheetId="23" hidden="1">'HORAS EXTRAS PROG. 6'!$B$5:$G$42</definedName>
    <definedName name="_xlnm._FilterDatabase" localSheetId="24" hidden="1">'HORAS EXTRAS PROG. 7'!$B$5:$G$42</definedName>
    <definedName name="_xlnm._FilterDatabase" localSheetId="26" hidden="1">'HORAS EXTRAS PROG. 8'!$B$5:$G$42</definedName>
    <definedName name="_xlnm._FilterDatabase" localSheetId="25" hidden="1">'HORAS EXTRAS PROG. 9'!$B$5:$G$42</definedName>
    <definedName name="_xlnm._FilterDatabase" localSheetId="27" hidden="1">'HORAS EXTRAS PROG. 9,1'!$B$5:$G$42</definedName>
    <definedName name="_xlnm._FilterDatabase" localSheetId="15" hidden="1">'LISTADO DE PROGRAMAS APS 2026 '!$C$3:$C$19</definedName>
    <definedName name="_xlnm._FilterDatabase" localSheetId="14" hidden="1">'PR. RES. CIRUGÍA MENOR'!$B$5:$I$69</definedName>
    <definedName name="_xlnm._FilterDatabase" localSheetId="10" hidden="1">'PROG. PIREHUEICO'!$A$5:$K$69</definedName>
    <definedName name="_xlnm._FilterDatabase" localSheetId="12" hidden="1">'PROG. SAPU VERANO COÑARIPE'!$A$5:$K$69</definedName>
    <definedName name="_xlnm._FilterDatabase" localSheetId="8" hidden="1">'PROG. SUR CHOSHUENCO'!$A$5:$K$69</definedName>
    <definedName name="_xlnm._FilterDatabase" localSheetId="11" hidden="1">'PROG. SUR COÑARIPE'!$A$5:$K$69</definedName>
    <definedName name="_xlnm._FilterDatabase" localSheetId="13" hidden="1">'PROG. SUR LIQUIÑE '!$A$5:$K$69</definedName>
    <definedName name="_xlnm._FilterDatabase" localSheetId="9" hidden="1">'PROG. SUR NELTUME'!$A$5:$K$69</definedName>
    <definedName name="_xlnm._FilterDatabase" localSheetId="6" hidden="1">VIÁTICOS!$A$5:$K$69</definedName>
    <definedName name="SUMA" localSheetId="16">#REF!</definedName>
    <definedName name="SUMA" localSheetId="28">#REF!</definedName>
    <definedName name="SUMA" localSheetId="17">#REF!</definedName>
    <definedName name="SUMA" localSheetId="18">#REF!</definedName>
    <definedName name="SUMA" localSheetId="19">#REF!</definedName>
    <definedName name="SUMA" localSheetId="20">#REF!</definedName>
    <definedName name="SUMA" localSheetId="21">#REF!</definedName>
    <definedName name="SUMA" localSheetId="22">#REF!</definedName>
    <definedName name="SUMA" localSheetId="23">#REF!</definedName>
    <definedName name="SUMA" localSheetId="24">#REF!</definedName>
    <definedName name="SUMA" localSheetId="26">#REF!</definedName>
    <definedName name="SUMA" localSheetId="25">#REF!</definedName>
    <definedName name="SUMA" localSheetId="27">#REF!</definedName>
    <definedName name="SUMA" localSheetId="14">#REF!</definedName>
    <definedName name="SUMA" localSheetId="10">#REF!</definedName>
    <definedName name="SUMA" localSheetId="12">#REF!</definedName>
    <definedName name="SUMA" localSheetId="8">#REF!</definedName>
    <definedName name="SUMA" localSheetId="11">#REF!</definedName>
    <definedName name="SUMA" localSheetId="13">#REF!</definedName>
    <definedName name="SUMA" localSheetId="9">#REF!</definedName>
    <definedName name="SUMA">#REF!</definedName>
  </definedNames>
  <calcPr calcId="162913"/>
</workbook>
</file>

<file path=xl/calcChain.xml><?xml version="1.0" encoding="utf-8"?>
<calcChain xmlns="http://schemas.openxmlformats.org/spreadsheetml/2006/main">
  <c r="I6" i="32" l="1"/>
  <c r="E6" i="32" s="1"/>
  <c r="C7" i="20" l="1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6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69" i="38"/>
  <c r="H69" i="38"/>
  <c r="C69" i="38" s="1"/>
  <c r="K68" i="38"/>
  <c r="H68" i="38"/>
  <c r="K67" i="38"/>
  <c r="H67" i="38"/>
  <c r="C67" i="38"/>
  <c r="K66" i="38"/>
  <c r="H66" i="38"/>
  <c r="C66" i="38"/>
  <c r="K65" i="38"/>
  <c r="H65" i="38"/>
  <c r="C65" i="38"/>
  <c r="K64" i="38"/>
  <c r="H64" i="38"/>
  <c r="C64" i="38" s="1"/>
  <c r="K63" i="38"/>
  <c r="H63" i="38"/>
  <c r="K62" i="38"/>
  <c r="H62" i="38"/>
  <c r="C62" i="38"/>
  <c r="K61" i="38"/>
  <c r="H61" i="38"/>
  <c r="C61" i="38"/>
  <c r="K60" i="38"/>
  <c r="H60" i="38"/>
  <c r="C60" i="38"/>
  <c r="K59" i="38"/>
  <c r="H59" i="38"/>
  <c r="C59" i="38" s="1"/>
  <c r="K58" i="38"/>
  <c r="H58" i="38"/>
  <c r="C58" i="38" s="1"/>
  <c r="K57" i="38"/>
  <c r="H57" i="38"/>
  <c r="C57" i="38" s="1"/>
  <c r="K56" i="38"/>
  <c r="H56" i="38"/>
  <c r="K55" i="38"/>
  <c r="H55" i="38"/>
  <c r="C55" i="38" s="1"/>
  <c r="K54" i="38"/>
  <c r="H54" i="38"/>
  <c r="C54" i="38"/>
  <c r="K53" i="38"/>
  <c r="H53" i="38"/>
  <c r="C53" i="38"/>
  <c r="K52" i="38"/>
  <c r="H52" i="38"/>
  <c r="K51" i="38"/>
  <c r="H51" i="38"/>
  <c r="C51" i="38"/>
  <c r="K50" i="38"/>
  <c r="C50" i="38" s="1"/>
  <c r="H50" i="38"/>
  <c r="K49" i="38"/>
  <c r="H49" i="38"/>
  <c r="K48" i="38"/>
  <c r="C48" i="38" s="1"/>
  <c r="H48" i="38"/>
  <c r="K47" i="38"/>
  <c r="H47" i="38"/>
  <c r="C47" i="38"/>
  <c r="K46" i="38"/>
  <c r="H46" i="38"/>
  <c r="C46" i="38"/>
  <c r="K45" i="38"/>
  <c r="H45" i="38"/>
  <c r="C45" i="38"/>
  <c r="K44" i="38"/>
  <c r="H44" i="38"/>
  <c r="C44" i="38"/>
  <c r="K43" i="38"/>
  <c r="H43" i="38"/>
  <c r="C43" i="38" s="1"/>
  <c r="K42" i="38"/>
  <c r="H42" i="38"/>
  <c r="C42" i="38"/>
  <c r="K41" i="38"/>
  <c r="H41" i="38"/>
  <c r="C41" i="38" s="1"/>
  <c r="K40" i="38"/>
  <c r="H40" i="38"/>
  <c r="C40" i="38"/>
  <c r="K39" i="38"/>
  <c r="H39" i="38"/>
  <c r="C39" i="38" s="1"/>
  <c r="K38" i="38"/>
  <c r="H38" i="38"/>
  <c r="C38" i="38"/>
  <c r="K37" i="38"/>
  <c r="H37" i="38"/>
  <c r="C37" i="38"/>
  <c r="K36" i="38"/>
  <c r="H36" i="38"/>
  <c r="C36" i="38" s="1"/>
  <c r="K35" i="38"/>
  <c r="H35" i="38"/>
  <c r="K34" i="38"/>
  <c r="H34" i="38"/>
  <c r="C34" i="38" s="1"/>
  <c r="K33" i="38"/>
  <c r="H33" i="38"/>
  <c r="C33" i="38" s="1"/>
  <c r="K32" i="38"/>
  <c r="H32" i="38"/>
  <c r="K31" i="38"/>
  <c r="H31" i="38"/>
  <c r="C31" i="38"/>
  <c r="K30" i="38"/>
  <c r="H30" i="38"/>
  <c r="C30" i="38"/>
  <c r="K29" i="38"/>
  <c r="H29" i="38"/>
  <c r="C29" i="38" s="1"/>
  <c r="K28" i="38"/>
  <c r="H28" i="38"/>
  <c r="K27" i="38"/>
  <c r="C27" i="38" s="1"/>
  <c r="H27" i="38"/>
  <c r="K26" i="38"/>
  <c r="H26" i="38"/>
  <c r="C26" i="38" s="1"/>
  <c r="K25" i="38"/>
  <c r="H25" i="38"/>
  <c r="C25" i="38"/>
  <c r="K24" i="38"/>
  <c r="H24" i="38"/>
  <c r="C24" i="38"/>
  <c r="K23" i="38"/>
  <c r="H23" i="38"/>
  <c r="C23" i="38" s="1"/>
  <c r="K22" i="38"/>
  <c r="H22" i="38"/>
  <c r="C22" i="38"/>
  <c r="K21" i="38"/>
  <c r="H21" i="38"/>
  <c r="C21" i="38"/>
  <c r="K20" i="38"/>
  <c r="C20" i="38" s="1"/>
  <c r="H20" i="38"/>
  <c r="K19" i="38"/>
  <c r="H19" i="38"/>
  <c r="K18" i="38"/>
  <c r="H18" i="38"/>
  <c r="C18" i="38" s="1"/>
  <c r="K17" i="38"/>
  <c r="H17" i="38"/>
  <c r="C17" i="38"/>
  <c r="K16" i="38"/>
  <c r="H16" i="38"/>
  <c r="C16" i="38" s="1"/>
  <c r="K15" i="38"/>
  <c r="H15" i="38"/>
  <c r="C15" i="38" s="1"/>
  <c r="K14" i="38"/>
  <c r="H14" i="38"/>
  <c r="C14" i="38"/>
  <c r="K13" i="38"/>
  <c r="H13" i="38"/>
  <c r="C13" i="38"/>
  <c r="K12" i="38"/>
  <c r="H12" i="38"/>
  <c r="K11" i="38"/>
  <c r="H11" i="38"/>
  <c r="C11" i="38" s="1"/>
  <c r="K10" i="38"/>
  <c r="H10" i="38"/>
  <c r="C10" i="38"/>
  <c r="K9" i="38"/>
  <c r="H9" i="38"/>
  <c r="C9" i="38" s="1"/>
  <c r="K8" i="38"/>
  <c r="H8" i="38"/>
  <c r="K7" i="38"/>
  <c r="H7" i="38"/>
  <c r="C7" i="38"/>
  <c r="K6" i="38"/>
  <c r="H6" i="38"/>
  <c r="K69" i="37"/>
  <c r="H69" i="37"/>
  <c r="C69" i="37"/>
  <c r="K68" i="37"/>
  <c r="H68" i="37"/>
  <c r="C68" i="37" s="1"/>
  <c r="K67" i="37"/>
  <c r="H67" i="37"/>
  <c r="C67" i="37"/>
  <c r="K66" i="37"/>
  <c r="H66" i="37"/>
  <c r="C66" i="37"/>
  <c r="K65" i="37"/>
  <c r="H65" i="37"/>
  <c r="C65" i="37"/>
  <c r="K64" i="37"/>
  <c r="H64" i="37"/>
  <c r="C64" i="37" s="1"/>
  <c r="K63" i="37"/>
  <c r="H63" i="37"/>
  <c r="C63" i="37" s="1"/>
  <c r="K62" i="37"/>
  <c r="H62" i="37"/>
  <c r="C62" i="37" s="1"/>
  <c r="K61" i="37"/>
  <c r="H61" i="37"/>
  <c r="C61" i="37"/>
  <c r="K60" i="37"/>
  <c r="H60" i="37"/>
  <c r="C60" i="37"/>
  <c r="K59" i="37"/>
  <c r="H59" i="37"/>
  <c r="C59" i="37"/>
  <c r="K58" i="37"/>
  <c r="H58" i="37"/>
  <c r="C58" i="37"/>
  <c r="K57" i="37"/>
  <c r="H57" i="37"/>
  <c r="C57" i="37" s="1"/>
  <c r="K56" i="37"/>
  <c r="C56" i="37" s="1"/>
  <c r="H56" i="37"/>
  <c r="K55" i="37"/>
  <c r="H55" i="37"/>
  <c r="K54" i="37"/>
  <c r="H54" i="37"/>
  <c r="C54" i="37"/>
  <c r="K53" i="37"/>
  <c r="H53" i="37"/>
  <c r="C53" i="37"/>
  <c r="K52" i="37"/>
  <c r="H52" i="37"/>
  <c r="C52" i="37"/>
  <c r="K51" i="37"/>
  <c r="H51" i="37"/>
  <c r="C51" i="37"/>
  <c r="K50" i="37"/>
  <c r="H50" i="37"/>
  <c r="C50" i="37"/>
  <c r="K49" i="37"/>
  <c r="H49" i="37"/>
  <c r="C49" i="37" s="1"/>
  <c r="K48" i="37"/>
  <c r="H48" i="37"/>
  <c r="K47" i="37"/>
  <c r="H47" i="37"/>
  <c r="C47" i="37"/>
  <c r="K46" i="37"/>
  <c r="H46" i="37"/>
  <c r="C46" i="37"/>
  <c r="K45" i="37"/>
  <c r="H45" i="37"/>
  <c r="C45" i="37"/>
  <c r="K44" i="37"/>
  <c r="H44" i="37"/>
  <c r="C44" i="37"/>
  <c r="K43" i="37"/>
  <c r="H43" i="37"/>
  <c r="C43" i="37" s="1"/>
  <c r="K42" i="37"/>
  <c r="H42" i="37"/>
  <c r="K41" i="37"/>
  <c r="H41" i="37"/>
  <c r="C41" i="37"/>
  <c r="K40" i="37"/>
  <c r="H40" i="37"/>
  <c r="C40" i="37"/>
  <c r="K39" i="37"/>
  <c r="H39" i="37"/>
  <c r="C39" i="37"/>
  <c r="K38" i="37"/>
  <c r="H38" i="37"/>
  <c r="C38" i="37"/>
  <c r="K37" i="37"/>
  <c r="H37" i="37"/>
  <c r="C37" i="37"/>
  <c r="K36" i="37"/>
  <c r="H36" i="37"/>
  <c r="C36" i="37" s="1"/>
  <c r="K35" i="37"/>
  <c r="H35" i="37"/>
  <c r="C35" i="37" s="1"/>
  <c r="K34" i="37"/>
  <c r="H34" i="37"/>
  <c r="C34" i="37" s="1"/>
  <c r="K33" i="37"/>
  <c r="C33" i="37" s="1"/>
  <c r="H33" i="37"/>
  <c r="K32" i="37"/>
  <c r="H32" i="37"/>
  <c r="C32" i="37"/>
  <c r="K31" i="37"/>
  <c r="H31" i="37"/>
  <c r="C31" i="37"/>
  <c r="K30" i="37"/>
  <c r="H30" i="37"/>
  <c r="C30" i="37"/>
  <c r="K29" i="37"/>
  <c r="H29" i="37"/>
  <c r="C29" i="37"/>
  <c r="K28" i="37"/>
  <c r="H28" i="37"/>
  <c r="C28" i="37" s="1"/>
  <c r="K27" i="37"/>
  <c r="H27" i="37"/>
  <c r="C27" i="37" s="1"/>
  <c r="K26" i="37"/>
  <c r="C26" i="37" s="1"/>
  <c r="H26" i="37"/>
  <c r="K25" i="37"/>
  <c r="H25" i="37"/>
  <c r="C25" i="37"/>
  <c r="K24" i="37"/>
  <c r="H24" i="37"/>
  <c r="C24" i="37"/>
  <c r="K23" i="37"/>
  <c r="H23" i="37"/>
  <c r="C23" i="37" s="1"/>
  <c r="K22" i="37"/>
  <c r="H22" i="37"/>
  <c r="C22" i="37" s="1"/>
  <c r="K21" i="37"/>
  <c r="H21" i="37"/>
  <c r="C21" i="37"/>
  <c r="K20" i="37"/>
  <c r="H20" i="37"/>
  <c r="C20" i="37" s="1"/>
  <c r="K19" i="37"/>
  <c r="H19" i="37"/>
  <c r="C19" i="37" s="1"/>
  <c r="K18" i="37"/>
  <c r="H18" i="37"/>
  <c r="C18" i="37"/>
  <c r="K17" i="37"/>
  <c r="H17" i="37"/>
  <c r="C17" i="37"/>
  <c r="K16" i="37"/>
  <c r="H16" i="37"/>
  <c r="K15" i="37"/>
  <c r="H15" i="37"/>
  <c r="K14" i="37"/>
  <c r="H14" i="37"/>
  <c r="C14" i="37"/>
  <c r="K13" i="37"/>
  <c r="H13" i="37"/>
  <c r="C13" i="37" s="1"/>
  <c r="K12" i="37"/>
  <c r="H12" i="37"/>
  <c r="C12" i="37"/>
  <c r="K11" i="37"/>
  <c r="H11" i="37"/>
  <c r="C11" i="37"/>
  <c r="K10" i="37"/>
  <c r="H10" i="37"/>
  <c r="C10" i="37"/>
  <c r="K9" i="37"/>
  <c r="H9" i="37"/>
  <c r="C9" i="37"/>
  <c r="K8" i="37"/>
  <c r="H8" i="37"/>
  <c r="C8" i="37" s="1"/>
  <c r="K7" i="37"/>
  <c r="H7" i="37"/>
  <c r="C7" i="37"/>
  <c r="K6" i="37"/>
  <c r="H6" i="37"/>
  <c r="C6" i="37" s="1"/>
  <c r="K69" i="36"/>
  <c r="H69" i="36"/>
  <c r="C69" i="36" s="1"/>
  <c r="K68" i="36"/>
  <c r="H68" i="36"/>
  <c r="C68" i="36"/>
  <c r="K67" i="36"/>
  <c r="H67" i="36"/>
  <c r="C67" i="36"/>
  <c r="K66" i="36"/>
  <c r="H66" i="36"/>
  <c r="C66" i="36" s="1"/>
  <c r="K65" i="36"/>
  <c r="C65" i="36" s="1"/>
  <c r="H65" i="36"/>
  <c r="K64" i="36"/>
  <c r="H64" i="36"/>
  <c r="C64" i="36"/>
  <c r="K63" i="36"/>
  <c r="H63" i="36"/>
  <c r="C63" i="36" s="1"/>
  <c r="K62" i="36"/>
  <c r="H62" i="36"/>
  <c r="C62" i="36"/>
  <c r="K61" i="36"/>
  <c r="H61" i="36"/>
  <c r="C61" i="36"/>
  <c r="K60" i="36"/>
  <c r="H60" i="36"/>
  <c r="C60" i="36"/>
  <c r="K59" i="36"/>
  <c r="H59" i="36"/>
  <c r="C59" i="36" s="1"/>
  <c r="K58" i="36"/>
  <c r="C58" i="36" s="1"/>
  <c r="H58" i="36"/>
  <c r="K57" i="36"/>
  <c r="H57" i="36"/>
  <c r="C57" i="36"/>
  <c r="K56" i="36"/>
  <c r="H56" i="36"/>
  <c r="C56" i="36" s="1"/>
  <c r="K55" i="36"/>
  <c r="H55" i="36"/>
  <c r="C55" i="36"/>
  <c r="K54" i="36"/>
  <c r="H54" i="36"/>
  <c r="C54" i="36"/>
  <c r="K53" i="36"/>
  <c r="H53" i="36"/>
  <c r="C53" i="36"/>
  <c r="K52" i="36"/>
  <c r="H52" i="36"/>
  <c r="C52" i="36" s="1"/>
  <c r="K51" i="36"/>
  <c r="C51" i="36" s="1"/>
  <c r="H51" i="36"/>
  <c r="K50" i="36"/>
  <c r="H50" i="36"/>
  <c r="C50" i="36"/>
  <c r="K49" i="36"/>
  <c r="H49" i="36"/>
  <c r="C49" i="36"/>
  <c r="K48" i="36"/>
  <c r="H48" i="36"/>
  <c r="C48" i="36"/>
  <c r="K47" i="36"/>
  <c r="H47" i="36"/>
  <c r="C47" i="36"/>
  <c r="K46" i="36"/>
  <c r="H46" i="36"/>
  <c r="C46" i="36"/>
  <c r="K45" i="36"/>
  <c r="C45" i="36" s="1"/>
  <c r="H45" i="36"/>
  <c r="K44" i="36"/>
  <c r="H44" i="36"/>
  <c r="C44" i="36"/>
  <c r="K43" i="36"/>
  <c r="H43" i="36"/>
  <c r="C43" i="36" s="1"/>
  <c r="K42" i="36"/>
  <c r="H42" i="36"/>
  <c r="C42" i="36"/>
  <c r="K41" i="36"/>
  <c r="H41" i="36"/>
  <c r="C41" i="36"/>
  <c r="K40" i="36"/>
  <c r="H40" i="36"/>
  <c r="C40" i="36"/>
  <c r="K39" i="36"/>
  <c r="H39" i="36"/>
  <c r="C39" i="36"/>
  <c r="K38" i="36"/>
  <c r="C38" i="36" s="1"/>
  <c r="H38" i="36"/>
  <c r="K37" i="36"/>
  <c r="H37" i="36"/>
  <c r="C37" i="36"/>
  <c r="K36" i="36"/>
  <c r="H36" i="36"/>
  <c r="C36" i="36" s="1"/>
  <c r="K35" i="36"/>
  <c r="H35" i="36"/>
  <c r="C35" i="36"/>
  <c r="K34" i="36"/>
  <c r="H34" i="36"/>
  <c r="C34" i="36"/>
  <c r="K33" i="36"/>
  <c r="H33" i="36"/>
  <c r="C33" i="36"/>
  <c r="K32" i="36"/>
  <c r="H32" i="36"/>
  <c r="C32" i="36"/>
  <c r="K31" i="36"/>
  <c r="C31" i="36" s="1"/>
  <c r="H31" i="36"/>
  <c r="K30" i="36"/>
  <c r="H30" i="36"/>
  <c r="C30" i="36"/>
  <c r="K29" i="36"/>
  <c r="H29" i="36"/>
  <c r="K28" i="36"/>
  <c r="H28" i="36"/>
  <c r="C28" i="36"/>
  <c r="K27" i="36"/>
  <c r="H27" i="36"/>
  <c r="C27" i="36"/>
  <c r="K26" i="36"/>
  <c r="H26" i="36"/>
  <c r="C26" i="36"/>
  <c r="K25" i="36"/>
  <c r="H25" i="36"/>
  <c r="C25" i="36"/>
  <c r="K24" i="36"/>
  <c r="C24" i="36" s="1"/>
  <c r="H24" i="36"/>
  <c r="K23" i="36"/>
  <c r="H23" i="36"/>
  <c r="C23" i="36" s="1"/>
  <c r="K22" i="36"/>
  <c r="H22" i="36"/>
  <c r="C22" i="36"/>
  <c r="K21" i="36"/>
  <c r="H21" i="36"/>
  <c r="C21" i="36"/>
  <c r="K20" i="36"/>
  <c r="H20" i="36"/>
  <c r="C20" i="36"/>
  <c r="K19" i="36"/>
  <c r="H19" i="36"/>
  <c r="C19" i="36"/>
  <c r="K18" i="36"/>
  <c r="H18" i="36"/>
  <c r="C18" i="36"/>
  <c r="K17" i="36"/>
  <c r="C17" i="36" s="1"/>
  <c r="H17" i="36"/>
  <c r="K16" i="36"/>
  <c r="H16" i="36"/>
  <c r="C16" i="36" s="1"/>
  <c r="K15" i="36"/>
  <c r="H15" i="36"/>
  <c r="C15" i="36"/>
  <c r="K14" i="36"/>
  <c r="H14" i="36"/>
  <c r="C14" i="36"/>
  <c r="K13" i="36"/>
  <c r="H13" i="36"/>
  <c r="C13" i="36"/>
  <c r="K12" i="36"/>
  <c r="H12" i="36"/>
  <c r="C12" i="36"/>
  <c r="K11" i="36"/>
  <c r="H11" i="36"/>
  <c r="C11" i="36"/>
  <c r="K10" i="36"/>
  <c r="C10" i="36" s="1"/>
  <c r="H10" i="36"/>
  <c r="K9" i="36"/>
  <c r="H9" i="36"/>
  <c r="C9" i="36" s="1"/>
  <c r="K8" i="36"/>
  <c r="H8" i="36"/>
  <c r="C8" i="36"/>
  <c r="K7" i="36"/>
  <c r="H7" i="36"/>
  <c r="C7" i="36"/>
  <c r="K6" i="36"/>
  <c r="H6" i="36"/>
  <c r="C6" i="36" s="1"/>
  <c r="K69" i="35"/>
  <c r="H69" i="35"/>
  <c r="C69" i="35" s="1"/>
  <c r="K68" i="35"/>
  <c r="H68" i="35"/>
  <c r="C68" i="35"/>
  <c r="K67" i="35"/>
  <c r="H67" i="35"/>
  <c r="C67" i="35" s="1"/>
  <c r="K66" i="35"/>
  <c r="H66" i="35"/>
  <c r="C66" i="35" s="1"/>
  <c r="K65" i="35"/>
  <c r="H65" i="35"/>
  <c r="C65" i="35" s="1"/>
  <c r="K64" i="35"/>
  <c r="H64" i="35"/>
  <c r="C64" i="35"/>
  <c r="K63" i="35"/>
  <c r="H63" i="35"/>
  <c r="C63" i="35" s="1"/>
  <c r="K62" i="35"/>
  <c r="H62" i="35"/>
  <c r="C62" i="35"/>
  <c r="K61" i="35"/>
  <c r="H61" i="35"/>
  <c r="C61" i="35"/>
  <c r="K60" i="35"/>
  <c r="H60" i="35"/>
  <c r="C60" i="35" s="1"/>
  <c r="K59" i="35"/>
  <c r="H59" i="35"/>
  <c r="C59" i="35" s="1"/>
  <c r="K58" i="35"/>
  <c r="H58" i="35"/>
  <c r="C58" i="35"/>
  <c r="K57" i="35"/>
  <c r="H57" i="35"/>
  <c r="C57" i="35"/>
  <c r="K56" i="35"/>
  <c r="H56" i="35"/>
  <c r="K55" i="35"/>
  <c r="H55" i="35"/>
  <c r="C55" i="35" s="1"/>
  <c r="K54" i="35"/>
  <c r="H54" i="35"/>
  <c r="C54" i="35"/>
  <c r="K53" i="35"/>
  <c r="H53" i="35"/>
  <c r="C53" i="35"/>
  <c r="K52" i="35"/>
  <c r="H52" i="35"/>
  <c r="C52" i="35" s="1"/>
  <c r="K51" i="35"/>
  <c r="H51" i="35"/>
  <c r="C51" i="35"/>
  <c r="K50" i="35"/>
  <c r="H50" i="35"/>
  <c r="C50" i="35"/>
  <c r="K49" i="35"/>
  <c r="H49" i="35"/>
  <c r="C49" i="35"/>
  <c r="K48" i="35"/>
  <c r="H48" i="35"/>
  <c r="C48" i="35"/>
  <c r="K47" i="35"/>
  <c r="H47" i="35"/>
  <c r="C47" i="35"/>
  <c r="K46" i="35"/>
  <c r="H46" i="35"/>
  <c r="C46" i="35" s="1"/>
  <c r="K45" i="35"/>
  <c r="H45" i="35"/>
  <c r="C45" i="35" s="1"/>
  <c r="K44" i="35"/>
  <c r="H44" i="35"/>
  <c r="C44" i="35"/>
  <c r="K43" i="35"/>
  <c r="H43" i="35"/>
  <c r="C43" i="35" s="1"/>
  <c r="K42" i="35"/>
  <c r="H42" i="35"/>
  <c r="C42" i="35"/>
  <c r="K41" i="35"/>
  <c r="H41" i="35"/>
  <c r="C41" i="35"/>
  <c r="K40" i="35"/>
  <c r="H40" i="35"/>
  <c r="C40" i="35"/>
  <c r="K39" i="35"/>
  <c r="H39" i="35"/>
  <c r="C39" i="35" s="1"/>
  <c r="K38" i="35"/>
  <c r="H38" i="35"/>
  <c r="C38" i="35" s="1"/>
  <c r="K37" i="35"/>
  <c r="H37" i="35"/>
  <c r="C37" i="35"/>
  <c r="K36" i="35"/>
  <c r="H36" i="35"/>
  <c r="K35" i="35"/>
  <c r="H35" i="35"/>
  <c r="C35" i="35" s="1"/>
  <c r="K34" i="35"/>
  <c r="H34" i="35"/>
  <c r="C34" i="35"/>
  <c r="K33" i="35"/>
  <c r="H33" i="35"/>
  <c r="C33" i="35"/>
  <c r="K32" i="35"/>
  <c r="H32" i="35"/>
  <c r="C32" i="35"/>
  <c r="K31" i="35"/>
  <c r="C31" i="35" s="1"/>
  <c r="H31" i="35"/>
  <c r="K30" i="35"/>
  <c r="H30" i="35"/>
  <c r="C30" i="35"/>
  <c r="K29" i="35"/>
  <c r="H29" i="35"/>
  <c r="C29" i="35"/>
  <c r="K28" i="35"/>
  <c r="H28" i="35"/>
  <c r="C28" i="35"/>
  <c r="K27" i="35"/>
  <c r="H27" i="35"/>
  <c r="C27" i="35"/>
  <c r="K26" i="35"/>
  <c r="H26" i="35"/>
  <c r="C26" i="35"/>
  <c r="K25" i="35"/>
  <c r="H25" i="35"/>
  <c r="C25" i="35" s="1"/>
  <c r="K24" i="35"/>
  <c r="H24" i="35"/>
  <c r="C24" i="35" s="1"/>
  <c r="K23" i="35"/>
  <c r="H23" i="35"/>
  <c r="C23" i="35" s="1"/>
  <c r="K22" i="35"/>
  <c r="H22" i="35"/>
  <c r="C22" i="35"/>
  <c r="K21" i="35"/>
  <c r="H21" i="35"/>
  <c r="C21" i="35"/>
  <c r="K20" i="35"/>
  <c r="H20" i="35"/>
  <c r="C20" i="35"/>
  <c r="K19" i="35"/>
  <c r="H19" i="35"/>
  <c r="C19" i="35"/>
  <c r="K18" i="35"/>
  <c r="H18" i="35"/>
  <c r="C18" i="35" s="1"/>
  <c r="K17" i="35"/>
  <c r="H17" i="35"/>
  <c r="C17" i="35" s="1"/>
  <c r="K16" i="35"/>
  <c r="H16" i="35"/>
  <c r="K15" i="35"/>
  <c r="H15" i="35"/>
  <c r="C15" i="35" s="1"/>
  <c r="K14" i="35"/>
  <c r="H14" i="35"/>
  <c r="C14" i="35"/>
  <c r="K13" i="35"/>
  <c r="H13" i="35"/>
  <c r="C13" i="35"/>
  <c r="K12" i="35"/>
  <c r="H12" i="35"/>
  <c r="C12" i="35"/>
  <c r="K11" i="35"/>
  <c r="H11" i="35"/>
  <c r="C11" i="35"/>
  <c r="K10" i="35"/>
  <c r="H10" i="35"/>
  <c r="C10" i="35"/>
  <c r="K9" i="35"/>
  <c r="H9" i="35"/>
  <c r="C9" i="35"/>
  <c r="K8" i="35"/>
  <c r="H8" i="35"/>
  <c r="C8" i="35"/>
  <c r="K7" i="35"/>
  <c r="H7" i="35"/>
  <c r="C7" i="35"/>
  <c r="K6" i="35"/>
  <c r="H6" i="35"/>
  <c r="C6" i="35" s="1"/>
  <c r="K69" i="34"/>
  <c r="C69" i="34" s="1"/>
  <c r="H69" i="34"/>
  <c r="K68" i="34"/>
  <c r="H68" i="34"/>
  <c r="C68" i="34" s="1"/>
  <c r="K67" i="34"/>
  <c r="H67" i="34"/>
  <c r="C67" i="34" s="1"/>
  <c r="K66" i="34"/>
  <c r="H66" i="34"/>
  <c r="C66" i="34"/>
  <c r="K65" i="34"/>
  <c r="H65" i="34"/>
  <c r="C65" i="34"/>
  <c r="K64" i="34"/>
  <c r="H64" i="34"/>
  <c r="C64" i="34"/>
  <c r="K63" i="34"/>
  <c r="H63" i="34"/>
  <c r="C63" i="34" s="1"/>
  <c r="K62" i="34"/>
  <c r="C62" i="34" s="1"/>
  <c r="H62" i="34"/>
  <c r="K61" i="34"/>
  <c r="H61" i="34"/>
  <c r="C61" i="34"/>
  <c r="K60" i="34"/>
  <c r="H60" i="34"/>
  <c r="C60" i="34"/>
  <c r="K59" i="34"/>
  <c r="H59" i="34"/>
  <c r="C59" i="34"/>
  <c r="K58" i="34"/>
  <c r="H58" i="34"/>
  <c r="C58" i="34"/>
  <c r="K57" i="34"/>
  <c r="H57" i="34"/>
  <c r="C57" i="34"/>
  <c r="K56" i="34"/>
  <c r="H56" i="34"/>
  <c r="C56" i="34" s="1"/>
  <c r="K55" i="34"/>
  <c r="C55" i="34" s="1"/>
  <c r="H55" i="34"/>
  <c r="K54" i="34"/>
  <c r="H54" i="34"/>
  <c r="C54" i="34"/>
  <c r="K53" i="34"/>
  <c r="H53" i="34"/>
  <c r="C53" i="34"/>
  <c r="K52" i="34"/>
  <c r="H52" i="34"/>
  <c r="C52" i="34"/>
  <c r="K51" i="34"/>
  <c r="H51" i="34"/>
  <c r="C51" i="34"/>
  <c r="K50" i="34"/>
  <c r="H50" i="34"/>
  <c r="C50" i="34"/>
  <c r="K49" i="34"/>
  <c r="H49" i="34"/>
  <c r="C49" i="34"/>
  <c r="K48" i="34"/>
  <c r="H48" i="34"/>
  <c r="C48" i="34" s="1"/>
  <c r="K47" i="34"/>
  <c r="H47" i="34"/>
  <c r="C47" i="34"/>
  <c r="K46" i="34"/>
  <c r="H46" i="34"/>
  <c r="C46" i="34" s="1"/>
  <c r="K45" i="34"/>
  <c r="H45" i="34"/>
  <c r="C45" i="34"/>
  <c r="K44" i="34"/>
  <c r="H44" i="34"/>
  <c r="C44" i="34"/>
  <c r="K43" i="34"/>
  <c r="H43" i="34"/>
  <c r="C43" i="34" s="1"/>
  <c r="K42" i="34"/>
  <c r="H42" i="34"/>
  <c r="C42" i="34"/>
  <c r="K41" i="34"/>
  <c r="H41" i="34"/>
  <c r="C41" i="34" s="1"/>
  <c r="K40" i="34"/>
  <c r="H40" i="34"/>
  <c r="C40" i="34"/>
  <c r="K39" i="34"/>
  <c r="H39" i="34"/>
  <c r="C39" i="34" s="1"/>
  <c r="K38" i="34"/>
  <c r="H38" i="34"/>
  <c r="C38" i="34"/>
  <c r="K37" i="34"/>
  <c r="H37" i="34"/>
  <c r="C37" i="34" s="1"/>
  <c r="K36" i="34"/>
  <c r="H36" i="34"/>
  <c r="C36" i="34" s="1"/>
  <c r="K35" i="34"/>
  <c r="H35" i="34"/>
  <c r="C35" i="34"/>
  <c r="K34" i="34"/>
  <c r="C34" i="34" s="1"/>
  <c r="H34" i="34"/>
  <c r="K33" i="34"/>
  <c r="C33" i="34" s="1"/>
  <c r="H33" i="34"/>
  <c r="K32" i="34"/>
  <c r="H32" i="34"/>
  <c r="C32" i="34"/>
  <c r="K31" i="34"/>
  <c r="H31" i="34"/>
  <c r="C31" i="34"/>
  <c r="K30" i="34"/>
  <c r="H30" i="34"/>
  <c r="C30" i="34"/>
  <c r="K29" i="34"/>
  <c r="H29" i="34"/>
  <c r="C29" i="34"/>
  <c r="K28" i="34"/>
  <c r="H28" i="34"/>
  <c r="C28" i="34"/>
  <c r="K27" i="34"/>
  <c r="H27" i="34"/>
  <c r="C27" i="34" s="1"/>
  <c r="K26" i="34"/>
  <c r="H26" i="34"/>
  <c r="C26" i="34"/>
  <c r="K25" i="34"/>
  <c r="H25" i="34"/>
  <c r="C25" i="34" s="1"/>
  <c r="K24" i="34"/>
  <c r="H24" i="34"/>
  <c r="C24" i="34"/>
  <c r="K23" i="34"/>
  <c r="H23" i="34"/>
  <c r="C23" i="34" s="1"/>
  <c r="K22" i="34"/>
  <c r="H22" i="34"/>
  <c r="C22" i="34"/>
  <c r="K21" i="34"/>
  <c r="H21" i="34"/>
  <c r="C21" i="34"/>
  <c r="K20" i="34"/>
  <c r="H20" i="34"/>
  <c r="C20" i="34" s="1"/>
  <c r="K19" i="34"/>
  <c r="H19" i="34"/>
  <c r="C19" i="34"/>
  <c r="K18" i="34"/>
  <c r="H18" i="34"/>
  <c r="C18" i="34" s="1"/>
  <c r="K17" i="34"/>
  <c r="H17" i="34"/>
  <c r="C17" i="34"/>
  <c r="K16" i="34"/>
  <c r="H16" i="34"/>
  <c r="C16" i="34" s="1"/>
  <c r="K15" i="34"/>
  <c r="H15" i="34"/>
  <c r="C15" i="34"/>
  <c r="K14" i="34"/>
  <c r="H14" i="34"/>
  <c r="C14" i="34"/>
  <c r="K13" i="34"/>
  <c r="H13" i="34"/>
  <c r="C13" i="34" s="1"/>
  <c r="K12" i="34"/>
  <c r="H12" i="34"/>
  <c r="C12" i="34"/>
  <c r="K11" i="34"/>
  <c r="H11" i="34"/>
  <c r="C11" i="34" s="1"/>
  <c r="K10" i="34"/>
  <c r="H10" i="34"/>
  <c r="C10" i="34"/>
  <c r="K9" i="34"/>
  <c r="H9" i="34"/>
  <c r="C9" i="34"/>
  <c r="K8" i="34"/>
  <c r="H8" i="34"/>
  <c r="C8" i="34"/>
  <c r="K7" i="34"/>
  <c r="H7" i="34"/>
  <c r="C7" i="34" s="1"/>
  <c r="K6" i="34"/>
  <c r="H6" i="34"/>
  <c r="C6" i="34" s="1"/>
  <c r="K69" i="33"/>
  <c r="H69" i="33"/>
  <c r="C69" i="33" s="1"/>
  <c r="K68" i="33"/>
  <c r="H68" i="33"/>
  <c r="C68" i="33" s="1"/>
  <c r="K67" i="33"/>
  <c r="H67" i="33"/>
  <c r="C67" i="33" s="1"/>
  <c r="K66" i="33"/>
  <c r="H66" i="33"/>
  <c r="C66" i="33" s="1"/>
  <c r="K65" i="33"/>
  <c r="H65" i="33"/>
  <c r="C65" i="33" s="1"/>
  <c r="K64" i="33"/>
  <c r="H64" i="33"/>
  <c r="C64" i="33" s="1"/>
  <c r="K63" i="33"/>
  <c r="H63" i="33"/>
  <c r="C63" i="33" s="1"/>
  <c r="K62" i="33"/>
  <c r="H62" i="33"/>
  <c r="C62" i="33" s="1"/>
  <c r="K61" i="33"/>
  <c r="H61" i="33"/>
  <c r="C61" i="33" s="1"/>
  <c r="K60" i="33"/>
  <c r="H60" i="33"/>
  <c r="C60" i="33" s="1"/>
  <c r="K59" i="33"/>
  <c r="H59" i="33"/>
  <c r="C59" i="33" s="1"/>
  <c r="K58" i="33"/>
  <c r="H58" i="33"/>
  <c r="K57" i="33"/>
  <c r="H57" i="33"/>
  <c r="C57" i="33" s="1"/>
  <c r="K56" i="33"/>
  <c r="H56" i="33"/>
  <c r="C56" i="33" s="1"/>
  <c r="K55" i="33"/>
  <c r="H55" i="33"/>
  <c r="K54" i="33"/>
  <c r="H54" i="33"/>
  <c r="C54" i="33"/>
  <c r="K53" i="33"/>
  <c r="H53" i="33"/>
  <c r="C53" i="33"/>
  <c r="K52" i="33"/>
  <c r="H52" i="33"/>
  <c r="C52" i="33"/>
  <c r="K51" i="33"/>
  <c r="H51" i="33"/>
  <c r="C51" i="33" s="1"/>
  <c r="K50" i="33"/>
  <c r="H50" i="33"/>
  <c r="C50" i="33"/>
  <c r="K49" i="33"/>
  <c r="H49" i="33"/>
  <c r="C49" i="33"/>
  <c r="K48" i="33"/>
  <c r="C48" i="33" s="1"/>
  <c r="H48" i="33"/>
  <c r="K47" i="33"/>
  <c r="H47" i="33"/>
  <c r="C47" i="33"/>
  <c r="K46" i="33"/>
  <c r="H46" i="33"/>
  <c r="C46" i="33"/>
  <c r="K45" i="33"/>
  <c r="H45" i="33"/>
  <c r="C45" i="33" s="1"/>
  <c r="K44" i="33"/>
  <c r="H44" i="33"/>
  <c r="C44" i="33"/>
  <c r="K43" i="33"/>
  <c r="H43" i="33"/>
  <c r="C43" i="33"/>
  <c r="K42" i="33"/>
  <c r="H42" i="33"/>
  <c r="C42" i="33"/>
  <c r="K41" i="33"/>
  <c r="H41" i="33"/>
  <c r="C41" i="33" s="1"/>
  <c r="K40" i="33"/>
  <c r="H40" i="33"/>
  <c r="C40" i="33"/>
  <c r="K39" i="33"/>
  <c r="H39" i="33"/>
  <c r="C39" i="33"/>
  <c r="K38" i="33"/>
  <c r="H38" i="33"/>
  <c r="K37" i="33"/>
  <c r="H37" i="33"/>
  <c r="C37" i="33"/>
  <c r="K36" i="33"/>
  <c r="H36" i="33"/>
  <c r="C36" i="33"/>
  <c r="K35" i="33"/>
  <c r="H35" i="33"/>
  <c r="C35" i="33" s="1"/>
  <c r="K34" i="33"/>
  <c r="H34" i="33"/>
  <c r="C34" i="33" s="1"/>
  <c r="K33" i="33"/>
  <c r="H33" i="33"/>
  <c r="C33" i="33" s="1"/>
  <c r="K32" i="33"/>
  <c r="H32" i="33"/>
  <c r="C32" i="33"/>
  <c r="K31" i="33"/>
  <c r="H31" i="33"/>
  <c r="C31" i="33" s="1"/>
  <c r="K30" i="33"/>
  <c r="H30" i="33"/>
  <c r="C30" i="33"/>
  <c r="K29" i="33"/>
  <c r="H29" i="33"/>
  <c r="C29" i="33"/>
  <c r="K28" i="33"/>
  <c r="H28" i="33"/>
  <c r="K27" i="33"/>
  <c r="H27" i="33"/>
  <c r="C27" i="33"/>
  <c r="K26" i="33"/>
  <c r="H26" i="33"/>
  <c r="C26" i="33" s="1"/>
  <c r="K25" i="33"/>
  <c r="H25" i="33"/>
  <c r="C25" i="33" s="1"/>
  <c r="K24" i="33"/>
  <c r="H24" i="33"/>
  <c r="C24" i="33"/>
  <c r="K23" i="33"/>
  <c r="H23" i="33"/>
  <c r="C23" i="33"/>
  <c r="K22" i="33"/>
  <c r="H22" i="33"/>
  <c r="C22" i="33"/>
  <c r="K21" i="33"/>
  <c r="H21" i="33"/>
  <c r="C21" i="33"/>
  <c r="K20" i="33"/>
  <c r="H20" i="33"/>
  <c r="C20" i="33"/>
  <c r="K19" i="33"/>
  <c r="H19" i="33"/>
  <c r="C19" i="33" s="1"/>
  <c r="K18" i="33"/>
  <c r="H18" i="33"/>
  <c r="C18" i="33" s="1"/>
  <c r="K17" i="33"/>
  <c r="H17" i="33"/>
  <c r="C17" i="33"/>
  <c r="K16" i="33"/>
  <c r="H16" i="33"/>
  <c r="C16" i="33"/>
  <c r="K15" i="33"/>
  <c r="H15" i="33"/>
  <c r="C15" i="33" s="1"/>
  <c r="K14" i="33"/>
  <c r="H14" i="33"/>
  <c r="C14" i="33"/>
  <c r="K13" i="33"/>
  <c r="H13" i="33"/>
  <c r="C13" i="33"/>
  <c r="K12" i="33"/>
  <c r="H12" i="33"/>
  <c r="C12" i="33" s="1"/>
  <c r="K11" i="33"/>
  <c r="H11" i="33"/>
  <c r="C11" i="33" s="1"/>
  <c r="K10" i="33"/>
  <c r="H10" i="33"/>
  <c r="C10" i="33"/>
  <c r="K9" i="33"/>
  <c r="H9" i="33"/>
  <c r="C9" i="33"/>
  <c r="K8" i="33"/>
  <c r="H8" i="33"/>
  <c r="K7" i="33"/>
  <c r="H7" i="33"/>
  <c r="C7" i="33"/>
  <c r="K6" i="33"/>
  <c r="H6" i="33"/>
  <c r="C6" i="33" s="1"/>
  <c r="C6" i="38" l="1"/>
  <c r="C28" i="33"/>
  <c r="C58" i="33"/>
  <c r="C8" i="33"/>
  <c r="C55" i="33"/>
  <c r="C38" i="33"/>
  <c r="C29" i="36"/>
  <c r="C36" i="35"/>
  <c r="C16" i="35"/>
  <c r="C56" i="35"/>
  <c r="C15" i="37"/>
  <c r="C48" i="37"/>
  <c r="C55" i="37"/>
  <c r="C16" i="37"/>
  <c r="C42" i="37"/>
  <c r="C12" i="38"/>
  <c r="C35" i="38"/>
  <c r="C28" i="38"/>
  <c r="C52" i="38"/>
  <c r="C68" i="38"/>
  <c r="C32" i="38"/>
  <c r="C63" i="38"/>
  <c r="C56" i="38"/>
  <c r="C8" i="38"/>
  <c r="C19" i="38"/>
  <c r="C49" i="38"/>
  <c r="I7" i="32"/>
  <c r="E7" i="32" s="1"/>
  <c r="I8" i="32"/>
  <c r="E8" i="32" s="1"/>
  <c r="I9" i="32"/>
  <c r="E9" i="32" s="1"/>
  <c r="I10" i="32"/>
  <c r="E10" i="32" s="1"/>
  <c r="I11" i="32"/>
  <c r="E11" i="32" s="1"/>
  <c r="I12" i="32"/>
  <c r="E12" i="32" s="1"/>
  <c r="I13" i="32"/>
  <c r="E13" i="32" s="1"/>
  <c r="I14" i="32"/>
  <c r="E14" i="32" s="1"/>
  <c r="I15" i="32"/>
  <c r="E15" i="32" s="1"/>
  <c r="I16" i="32"/>
  <c r="E16" i="32" s="1"/>
  <c r="I17" i="32"/>
  <c r="E17" i="32" s="1"/>
  <c r="I18" i="32"/>
  <c r="E18" i="32" s="1"/>
  <c r="I19" i="32"/>
  <c r="E19" i="32" s="1"/>
  <c r="I20" i="32"/>
  <c r="E20" i="32" s="1"/>
  <c r="I21" i="32"/>
  <c r="E21" i="32" s="1"/>
  <c r="I22" i="32"/>
  <c r="E22" i="32" s="1"/>
  <c r="I23" i="32"/>
  <c r="E23" i="32" s="1"/>
  <c r="I24" i="32"/>
  <c r="E24" i="32" s="1"/>
  <c r="I25" i="32"/>
  <c r="E25" i="32" s="1"/>
  <c r="I26" i="32"/>
  <c r="E26" i="32" s="1"/>
  <c r="I27" i="32"/>
  <c r="E27" i="32" s="1"/>
  <c r="I28" i="32"/>
  <c r="E28" i="32" s="1"/>
  <c r="I29" i="32"/>
  <c r="E29" i="32" s="1"/>
  <c r="I30" i="32"/>
  <c r="E30" i="32" s="1"/>
  <c r="I31" i="32"/>
  <c r="E31" i="32" s="1"/>
  <c r="I32" i="32"/>
  <c r="E32" i="32" s="1"/>
  <c r="I33" i="32"/>
  <c r="E33" i="32" s="1"/>
  <c r="I34" i="32"/>
  <c r="E34" i="32" s="1"/>
  <c r="I35" i="32"/>
  <c r="E35" i="32" s="1"/>
  <c r="I36" i="32"/>
  <c r="E36" i="32" s="1"/>
  <c r="I37" i="32"/>
  <c r="E37" i="32" s="1"/>
  <c r="I38" i="32"/>
  <c r="E38" i="32" s="1"/>
  <c r="I39" i="32"/>
  <c r="E39" i="32" s="1"/>
  <c r="I40" i="32"/>
  <c r="E40" i="32" s="1"/>
  <c r="I41" i="32"/>
  <c r="E41" i="32" s="1"/>
  <c r="I42" i="32"/>
  <c r="E42" i="32" s="1"/>
  <c r="I43" i="32"/>
  <c r="E43" i="32" s="1"/>
  <c r="I44" i="32"/>
  <c r="E44" i="32" s="1"/>
  <c r="I45" i="32"/>
  <c r="E45" i="32" s="1"/>
  <c r="I46" i="32"/>
  <c r="E46" i="32" s="1"/>
  <c r="I47" i="32"/>
  <c r="E47" i="32" s="1"/>
  <c r="I48" i="32"/>
  <c r="E48" i="32" s="1"/>
  <c r="I49" i="32"/>
  <c r="E49" i="32" s="1"/>
  <c r="I50" i="32"/>
  <c r="E50" i="32" s="1"/>
  <c r="I51" i="32"/>
  <c r="E51" i="32" s="1"/>
  <c r="I52" i="32"/>
  <c r="E52" i="32" s="1"/>
  <c r="I53" i="32"/>
  <c r="E53" i="32" s="1"/>
  <c r="I54" i="32"/>
  <c r="E54" i="32" s="1"/>
  <c r="I55" i="32"/>
  <c r="E55" i="32" s="1"/>
  <c r="I56" i="32"/>
  <c r="E56" i="32" s="1"/>
  <c r="I57" i="32"/>
  <c r="E57" i="32" s="1"/>
  <c r="I58" i="32"/>
  <c r="E58" i="32" s="1"/>
  <c r="I59" i="32"/>
  <c r="E59" i="32" s="1"/>
  <c r="I60" i="32"/>
  <c r="E60" i="32" s="1"/>
  <c r="I61" i="32"/>
  <c r="E61" i="32" s="1"/>
  <c r="I62" i="32"/>
  <c r="E62" i="32" s="1"/>
  <c r="I63" i="32"/>
  <c r="E63" i="32" s="1"/>
  <c r="I64" i="32"/>
  <c r="E64" i="32" s="1"/>
  <c r="I65" i="32"/>
  <c r="E65" i="32" s="1"/>
  <c r="I66" i="32"/>
  <c r="E66" i="32" s="1"/>
  <c r="I67" i="32"/>
  <c r="E67" i="32" s="1"/>
  <c r="I68" i="32"/>
  <c r="E68" i="32" s="1"/>
  <c r="I69" i="32"/>
  <c r="E69" i="32" s="1"/>
  <c r="D58" i="27" l="1"/>
  <c r="H6" i="20"/>
  <c r="H27" i="20" l="1"/>
  <c r="H7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</calcChain>
</file>

<file path=xl/comments1.xml><?xml version="1.0" encoding="utf-8"?>
<comments xmlns="http://schemas.openxmlformats.org/spreadsheetml/2006/main">
  <authors>
    <author>felip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>CONFIRMAR MONTO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 xml:space="preserve">CONFIRMAR MONTO 
</t>
        </r>
      </text>
    </comment>
  </commentList>
</comments>
</file>

<file path=xl/comments2.xml><?xml version="1.0" encoding="utf-8"?>
<comments xmlns="http://schemas.openxmlformats.org/spreadsheetml/2006/main">
  <authors>
    <author>felip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 xml:space="preserve">CONFIRMAR MONTO Y ESTABLECER SI SERÁ POR HORA O TURNO EL VALOR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CONFIRMAR MONTO Y ESTABLECER SI SERÁ POR HORA O TURNO EL VALOR</t>
        </r>
      </text>
    </comment>
  </commentList>
</comments>
</file>

<file path=xl/comments3.xml><?xml version="1.0" encoding="utf-8"?>
<comments xmlns="http://schemas.openxmlformats.org/spreadsheetml/2006/main">
  <authors>
    <author>felip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 xml:space="preserve">CONFIRMAR MONTO Y ESTABLECER SI SERÁ POR HORA O TURNO EL VALOR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CONFIRMAR MONTO Y ESTABLECER SI SERÁ POR HORA O TURNO EL VALOR</t>
        </r>
      </text>
    </comment>
  </commentList>
</comments>
</file>

<file path=xl/comments4.xml><?xml version="1.0" encoding="utf-8"?>
<comments xmlns="http://schemas.openxmlformats.org/spreadsheetml/2006/main">
  <authors>
    <author>felip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 xml:space="preserve">CONFIRMAR MONTO Y ESTABLECER SI SERÁ POR HORA O TURNO EL VALOR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CONFIRMAR MONTO Y ESTABLECER SI SERÁ POR HORA O TURNO EL VALOR</t>
        </r>
      </text>
    </comment>
  </commentList>
</comments>
</file>

<file path=xl/comments5.xml><?xml version="1.0" encoding="utf-8"?>
<comments xmlns="http://schemas.openxmlformats.org/spreadsheetml/2006/main">
  <authors>
    <author>felip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 xml:space="preserve">CONFIRMAR MONTO Y ESTABLECER SI SERÁ POR HORA O TURNO EL VALOR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CONFIRMAR MONTO Y ESTABLECER SI SERÁ POR HORA O TURNO EL VALOR</t>
        </r>
      </text>
    </comment>
  </commentList>
</comments>
</file>

<file path=xl/comments6.xml><?xml version="1.0" encoding="utf-8"?>
<comments xmlns="http://schemas.openxmlformats.org/spreadsheetml/2006/main">
  <authors>
    <author>felip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 xml:space="preserve">CONFIRMAR MONTO Y ESTABLECER SI SERÁ POR HORA O TURNO EL VALOR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CONFIRMAR MONTO Y ESTABLECER SI SERÁ POR HORA O TURNO EL VALOR</t>
        </r>
      </text>
    </comment>
  </commentList>
</comments>
</file>

<file path=xl/comments7.xml><?xml version="1.0" encoding="utf-8"?>
<comments xmlns="http://schemas.openxmlformats.org/spreadsheetml/2006/main">
  <authors>
    <author>felip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 xml:space="preserve">CONFIRMAR MONTO Y ESTABLECER SI SERÁ POR HORA O TURNO EL VALOR
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CONFIRMAR MONTO Y ESTABLECER SI SERÁ POR HORA O TURNO EL VALOR</t>
        </r>
      </text>
    </comment>
  </commentList>
</comments>
</file>

<file path=xl/comments8.xml><?xml version="1.0" encoding="utf-8"?>
<comments xmlns="http://schemas.openxmlformats.org/spreadsheetml/2006/main">
  <authors>
    <author>Felipe Coronado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 xml:space="preserve">VERIFICAR PROFESIÓN 
</t>
        </r>
      </text>
    </comment>
  </commentList>
</comments>
</file>

<file path=xl/sharedStrings.xml><?xml version="1.0" encoding="utf-8"?>
<sst xmlns="http://schemas.openxmlformats.org/spreadsheetml/2006/main" count="345" uniqueCount="73">
  <si>
    <t>FECHA INICIO</t>
  </si>
  <si>
    <t>FECHA TERMINO</t>
  </si>
  <si>
    <t>CANTIDAD HORAS 25 %</t>
  </si>
  <si>
    <t>FUERA DE LA COMUNA</t>
  </si>
  <si>
    <t>VIATICO COMUNAL</t>
  </si>
  <si>
    <t>MONTO</t>
  </si>
  <si>
    <t>SUBTOTAL 1</t>
  </si>
  <si>
    <t>VIATICO FUERA COMUNA</t>
  </si>
  <si>
    <t>SUBTOTAL 2</t>
  </si>
  <si>
    <t>NOMBRE COMPLETO</t>
  </si>
  <si>
    <t>TOTAL VIATICOS</t>
  </si>
  <si>
    <t>CANTIDAD HORAS 50%</t>
  </si>
  <si>
    <t>RUN</t>
  </si>
  <si>
    <t xml:space="preserve">TIEMPO </t>
  </si>
  <si>
    <t>DENTRO DE LA COMUNA</t>
  </si>
  <si>
    <t>HORAS EXTRAS</t>
  </si>
  <si>
    <t>PLANILLA DE VIATICOS</t>
  </si>
  <si>
    <t>C. PANGUIPULLI</t>
  </si>
  <si>
    <t>C. COÑARIPE</t>
  </si>
  <si>
    <t>C. CHOSHUENCO</t>
  </si>
  <si>
    <t>PLANILLA DE ATRASOS</t>
  </si>
  <si>
    <t>MODELO DE ATENCIÓN INTEGRAL DE SALUD FAMILIAR Y COMUNITARIA EN ATENCIÓN PRIMARIA (MAISF)</t>
  </si>
  <si>
    <t>ESPACIOS AMIGABLES PARA ADOLESCENTES</t>
  </si>
  <si>
    <t>IMÁGENES DIAGNÓSTICAS EN ATENCIÓN PRIMARIA DE SALUD</t>
  </si>
  <si>
    <t>REHABILITACIÓN INTEGRAL EN LA RED DE SALUD</t>
  </si>
  <si>
    <t>ATENCIÓN INTEGRAL AL DESARROLLO INFANTOADOLESCENTE (TEA)</t>
  </si>
  <si>
    <t>CONTINUIDAD DE CUIDADOS PREVENTIVOS Y DE TRATAMIENTOS EN APS</t>
  </si>
  <si>
    <t xml:space="preserve">NOMBRE DIRECTOR </t>
  </si>
  <si>
    <t>CESFAM _____________</t>
  </si>
  <si>
    <t xml:space="preserve">GABINO RAPIMAN FILGUEIRA </t>
  </si>
  <si>
    <t xml:space="preserve">DIRECTOR ÁREA SALUD </t>
  </si>
  <si>
    <t>TOTAL TURNOS</t>
  </si>
  <si>
    <t>TURNO DÍA HABIL</t>
  </si>
  <si>
    <t>TURNO DÍA INHABIL</t>
  </si>
  <si>
    <t>TOTAL TURNO HABIL</t>
  </si>
  <si>
    <t>TOTAL TURNO DÍA INHABIL</t>
  </si>
  <si>
    <t>PLANILLA DE SERVICIO DE PROD. QUIRURGICOS DE BAJA COMPLEJIDAD</t>
  </si>
  <si>
    <t xml:space="preserve">VALOR TOTAL </t>
  </si>
  <si>
    <t>TOTAL DE PROCEDIMIENTOS</t>
  </si>
  <si>
    <t xml:space="preserve">PROFESIÓN </t>
  </si>
  <si>
    <t>MÉDICO</t>
  </si>
  <si>
    <t>TENS</t>
  </si>
  <si>
    <t>LA FECHA DE INICIO ES EL 16 DE CADA MES HASTA EL 15 DEL MES SIGUIENTE</t>
  </si>
  <si>
    <t>PLANILLA DE SAPU VERANO COÑARIPE</t>
  </si>
  <si>
    <t>PLANILLA DE SERVICIO DE URGENCIA RURAL - CHOSHUENCO</t>
  </si>
  <si>
    <t>PLANILLA DE SERVICIO DE URGENCIA RURAL - NELTUME</t>
  </si>
  <si>
    <t>PLANILLA DE SERVICIO DE URGENCIA RURAL - PIREHUEICO</t>
  </si>
  <si>
    <t>PLANILLA DE SERVICIO DE URGENCIA RURAL - COÑARIPE</t>
  </si>
  <si>
    <t>PLANILLA DE SERVICIO DE URGENCIA RURAL - LIQUIÑE</t>
  </si>
  <si>
    <t>DETERMINAR EL VALOR Y MOTIVO DEL VIATICO</t>
  </si>
  <si>
    <t>HORAS EXTRAS PROGRAMA</t>
  </si>
  <si>
    <t>SALUD MENTAL Y BIENESTAR PSICOSOCIAL - SALUD MENTAL EN LA ATENCIÓN PRIMARIA DE SALUD</t>
  </si>
  <si>
    <t>DETERMINAR EL VALOR DEL TURNO</t>
  </si>
  <si>
    <t>OBSERVACIONES</t>
  </si>
  <si>
    <t>ATENCIÓN INTEGRAL AL DESARROLLO INFANTO ADOLESCENTE (TEA) 2026</t>
  </si>
  <si>
    <t>CONTINUIDAD DE CUIDADOS PREVENTIVOS Y DE TRATAMIENTO EN APS 2026</t>
  </si>
  <si>
    <t>ESPACIOS AMIGABLES PARA ADOLESCENTES 2026</t>
  </si>
  <si>
    <t xml:space="preserve">ESB - AT. ODONTOLÓGICA DE MORBILIDAD </t>
  </si>
  <si>
    <t xml:space="preserve">ESB - AT. INTEGRAL </t>
  </si>
  <si>
    <t>ESB - AT. RESOLUTIVIDAD</t>
  </si>
  <si>
    <t>ESTRATEGIAS DE SALUD BUCAL 2026 - ATENCIÓN ODONTOLÓGICA DE MORBILIDAD</t>
  </si>
  <si>
    <t xml:space="preserve">ESTRATEGIAS DE SALUD BUCAL 2026 - ATENCIÓN INTEGRAL </t>
  </si>
  <si>
    <t>ESTRATEGIAS DE SALUD BUCAL 2026 - ATENCIÓN RESOLUTIVIDAD</t>
  </si>
  <si>
    <t>IMÁGENES DIAGNÓSTICAS EN ATENCIÓN PRIMARIA DE SALUD 2026</t>
  </si>
  <si>
    <t>REHABILITACIÓN INTEGRAL EN LA RED DE SALUD 2026</t>
  </si>
  <si>
    <t>MODELO DE ATENCIÓN INTEGRAL DE SALUD FAMILIAR Y COMUNITARIA EN ATENCIÓN PRIMARIA 2026 (MAISF)</t>
  </si>
  <si>
    <t>SALUD MENTAL Y BIENESTAR PSICOSOCIAL 2026 - COMPONENTE: SALUD MENTAL EN LA ATENCIÓN PRIMARIA DE SALUD</t>
  </si>
  <si>
    <t>SALUD RESPIRATORIA 2026 - COMPONENTE: VACUNACIÓN CONTRA LA INFLUENZA, VRS Y SARS-CoV-2</t>
  </si>
  <si>
    <t>SALUD RESPIRATORIA 2026 - COMPONENTE: CAMPAÑA INVIERNO</t>
  </si>
  <si>
    <t>PROGRAMAS APS 2026 CON HORAS EXTRAS PROGRAMADAS</t>
  </si>
  <si>
    <t>SALUD RESPIRATORIA - VACUNACIÓN CONTRA LA INFLUENZA, VRS Y SARS-CoV-2</t>
  </si>
  <si>
    <t>SALUD RESPIRATORIA - CAMPAÑA INVIERNO</t>
  </si>
  <si>
    <t>SERVICIO DE ATENCIÓN PRIMARIA DE URGENCIA DE ALTA RESOLUTIVIDAD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</si>
</sst>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3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2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20"/>
      <color theme="0"/>
      <name val="Calibri"/>
      <family val="2"/>
    </font>
    <font>
      <b/>
      <sz val="15"/>
      <color theme="0"/>
      <name val="Calibri"/>
      <family val="2"/>
    </font>
    <font>
      <b/>
      <sz val="10"/>
      <color rgb="FF000000"/>
      <name val="Arial"/>
      <family val="2"/>
    </font>
    <font>
      <b/>
      <sz val="10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7" fillId="0" borderId="2"/>
    <xf numFmtId="0" fontId="6" fillId="0" borderId="2"/>
    <xf numFmtId="0" fontId="16" fillId="0" borderId="2"/>
    <xf numFmtId="0" fontId="5" fillId="0" borderId="2"/>
    <xf numFmtId="42" fontId="20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0" borderId="5" xfId="0" applyBorder="1"/>
    <xf numFmtId="14" fontId="0" fillId="0" borderId="5" xfId="0" applyNumberFormat="1" applyBorder="1"/>
    <xf numFmtId="0" fontId="13" fillId="0" borderId="5" xfId="0" applyFont="1" applyBorder="1"/>
    <xf numFmtId="46" fontId="14" fillId="2" borderId="5" xfId="0" applyNumberFormat="1" applyFont="1" applyFill="1" applyBorder="1" applyAlignment="1">
      <alignment wrapText="1"/>
    </xf>
    <xf numFmtId="14" fontId="14" fillId="2" borderId="6" xfId="0" applyNumberFormat="1" applyFont="1" applyFill="1" applyBorder="1" applyAlignment="1">
      <alignment wrapText="1"/>
    </xf>
    <xf numFmtId="0" fontId="15" fillId="2" borderId="5" xfId="0" applyFont="1" applyFill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4" fillId="0" borderId="5" xfId="0" applyFont="1" applyBorder="1" applyAlignment="1">
      <alignment wrapText="1"/>
    </xf>
    <xf numFmtId="21" fontId="14" fillId="0" borderId="5" xfId="0" applyNumberFormat="1" applyFont="1" applyBorder="1" applyAlignment="1">
      <alignment wrapText="1"/>
    </xf>
    <xf numFmtId="0" fontId="14" fillId="2" borderId="7" xfId="0" applyFont="1" applyFill="1" applyBorder="1" applyAlignment="1">
      <alignment wrapText="1"/>
    </xf>
    <xf numFmtId="21" fontId="14" fillId="2" borderId="5" xfId="0" applyNumberFormat="1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4" fillId="2" borderId="4" xfId="0" applyFont="1" applyFill="1" applyBorder="1" applyAlignment="1">
      <alignment wrapText="1"/>
    </xf>
    <xf numFmtId="20" fontId="14" fillId="0" borderId="5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0" xfId="0"/>
    <xf numFmtId="46" fontId="14" fillId="2" borderId="6" xfId="0" applyNumberFormat="1" applyFont="1" applyFill="1" applyBorder="1" applyAlignment="1">
      <alignment wrapText="1"/>
    </xf>
    <xf numFmtId="21" fontId="14" fillId="0" borderId="6" xfId="0" applyNumberFormat="1" applyFont="1" applyBorder="1" applyAlignment="1">
      <alignment wrapText="1"/>
    </xf>
    <xf numFmtId="21" fontId="14" fillId="2" borderId="6" xfId="0" applyNumberFormat="1" applyFont="1" applyFill="1" applyBorder="1" applyAlignment="1">
      <alignment wrapText="1"/>
    </xf>
    <xf numFmtId="20" fontId="14" fillId="0" borderId="6" xfId="0" applyNumberFormat="1" applyFont="1" applyBorder="1" applyAlignment="1">
      <alignment wrapText="1"/>
    </xf>
    <xf numFmtId="14" fontId="14" fillId="2" borderId="17" xfId="0" applyNumberFormat="1" applyFont="1" applyFill="1" applyBorder="1" applyAlignment="1">
      <alignment wrapText="1"/>
    </xf>
    <xf numFmtId="0" fontId="15" fillId="2" borderId="18" xfId="0" applyFont="1" applyFill="1" applyBorder="1" applyAlignment="1">
      <alignment wrapText="1"/>
    </xf>
    <xf numFmtId="0" fontId="15" fillId="0" borderId="18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2" borderId="18" xfId="0" applyFont="1" applyFill="1" applyBorder="1" applyAlignment="1">
      <alignment wrapText="1"/>
    </xf>
    <xf numFmtId="0" fontId="14" fillId="2" borderId="19" xfId="0" applyFont="1" applyFill="1" applyBorder="1" applyAlignment="1">
      <alignment wrapText="1"/>
    </xf>
    <xf numFmtId="0" fontId="14" fillId="2" borderId="16" xfId="0" applyFont="1" applyFill="1" applyBorder="1" applyAlignment="1">
      <alignment wrapText="1"/>
    </xf>
    <xf numFmtId="0" fontId="14" fillId="2" borderId="20" xfId="0" applyFont="1" applyFill="1" applyBorder="1" applyAlignment="1">
      <alignment wrapText="1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20" fontId="11" fillId="0" borderId="22" xfId="0" applyNumberFormat="1" applyFont="1" applyBorder="1" applyAlignment="1">
      <alignment horizontal="right"/>
    </xf>
    <xf numFmtId="20" fontId="11" fillId="0" borderId="23" xfId="0" applyNumberFormat="1" applyFont="1" applyBorder="1" applyAlignment="1">
      <alignment horizontal="right"/>
    </xf>
    <xf numFmtId="14" fontId="14" fillId="2" borderId="23" xfId="0" applyNumberFormat="1" applyFont="1" applyFill="1" applyBorder="1" applyAlignment="1">
      <alignment wrapText="1"/>
    </xf>
    <xf numFmtId="14" fontId="14" fillId="2" borderId="24" xfId="0" applyNumberFormat="1" applyFont="1" applyFill="1" applyBorder="1" applyAlignment="1">
      <alignment wrapText="1"/>
    </xf>
    <xf numFmtId="0" fontId="14" fillId="0" borderId="25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0" borderId="0" xfId="0" applyFont="1" applyFill="1"/>
    <xf numFmtId="0" fontId="0" fillId="3" borderId="5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2" xfId="0" applyFill="1" applyBorder="1"/>
    <xf numFmtId="0" fontId="14" fillId="5" borderId="25" xfId="0" applyFont="1" applyFill="1" applyBorder="1" applyAlignment="1">
      <alignment wrapText="1"/>
    </xf>
    <xf numFmtId="0" fontId="14" fillId="5" borderId="3" xfId="0" applyFont="1" applyFill="1" applyBorder="1" applyAlignment="1">
      <alignment wrapText="1"/>
    </xf>
    <xf numFmtId="46" fontId="14" fillId="5" borderId="6" xfId="0" applyNumberFormat="1" applyFont="1" applyFill="1" applyBorder="1" applyAlignment="1">
      <alignment wrapText="1"/>
    </xf>
    <xf numFmtId="14" fontId="14" fillId="5" borderId="6" xfId="0" applyNumberFormat="1" applyFont="1" applyFill="1" applyBorder="1" applyAlignment="1">
      <alignment wrapText="1"/>
    </xf>
    <xf numFmtId="14" fontId="14" fillId="5" borderId="17" xfId="0" applyNumberFormat="1" applyFont="1" applyFill="1" applyBorder="1" applyAlignment="1">
      <alignment wrapText="1"/>
    </xf>
    <xf numFmtId="0" fontId="15" fillId="5" borderId="18" xfId="0" applyFont="1" applyFill="1" applyBorder="1" applyAlignment="1">
      <alignment wrapText="1"/>
    </xf>
    <xf numFmtId="0" fontId="15" fillId="5" borderId="5" xfId="0" applyFont="1" applyFill="1" applyBorder="1" applyAlignment="1">
      <alignment wrapText="1"/>
    </xf>
    <xf numFmtId="46" fontId="14" fillId="5" borderId="5" xfId="0" applyNumberFormat="1" applyFont="1" applyFill="1" applyBorder="1" applyAlignment="1">
      <alignment wrapText="1"/>
    </xf>
    <xf numFmtId="0" fontId="14" fillId="5" borderId="5" xfId="0" applyFont="1" applyFill="1" applyBorder="1" applyAlignment="1">
      <alignment wrapText="1"/>
    </xf>
    <xf numFmtId="0" fontId="14" fillId="5" borderId="18" xfId="0" applyFont="1" applyFill="1" applyBorder="1" applyAlignment="1">
      <alignment wrapText="1"/>
    </xf>
    <xf numFmtId="21" fontId="14" fillId="5" borderId="5" xfId="0" applyNumberFormat="1" applyFont="1" applyFill="1" applyBorder="1" applyAlignment="1">
      <alignment wrapText="1"/>
    </xf>
    <xf numFmtId="21" fontId="14" fillId="5" borderId="6" xfId="0" applyNumberFormat="1" applyFont="1" applyFill="1" applyBorder="1" applyAlignment="1">
      <alignment wrapText="1"/>
    </xf>
    <xf numFmtId="0" fontId="14" fillId="5" borderId="19" xfId="0" applyFont="1" applyFill="1" applyBorder="1" applyAlignment="1">
      <alignment wrapText="1"/>
    </xf>
    <xf numFmtId="0" fontId="14" fillId="5" borderId="7" xfId="0" applyFont="1" applyFill="1" applyBorder="1" applyAlignment="1">
      <alignment wrapText="1"/>
    </xf>
    <xf numFmtId="0" fontId="14" fillId="5" borderId="16" xfId="0" applyFont="1" applyFill="1" applyBorder="1" applyAlignment="1">
      <alignment wrapText="1"/>
    </xf>
    <xf numFmtId="0" fontId="14" fillId="5" borderId="1" xfId="0" applyFont="1" applyFill="1" applyBorder="1" applyAlignment="1">
      <alignment wrapText="1"/>
    </xf>
    <xf numFmtId="0" fontId="14" fillId="5" borderId="20" xfId="0" applyFont="1" applyFill="1" applyBorder="1" applyAlignment="1">
      <alignment wrapText="1"/>
    </xf>
    <xf numFmtId="0" fontId="14" fillId="5" borderId="4" xfId="0" applyFont="1" applyFill="1" applyBorder="1" applyAlignment="1">
      <alignment wrapText="1"/>
    </xf>
    <xf numFmtId="20" fontId="14" fillId="5" borderId="5" xfId="0" applyNumberFormat="1" applyFont="1" applyFill="1" applyBorder="1" applyAlignment="1">
      <alignment wrapText="1"/>
    </xf>
    <xf numFmtId="20" fontId="14" fillId="5" borderId="6" xfId="0" applyNumberFormat="1" applyFont="1" applyFill="1" applyBorder="1" applyAlignment="1">
      <alignment wrapText="1"/>
    </xf>
    <xf numFmtId="0" fontId="11" fillId="5" borderId="21" xfId="0" applyFont="1" applyFill="1" applyBorder="1" applyAlignment="1">
      <alignment horizontal="left"/>
    </xf>
    <xf numFmtId="0" fontId="11" fillId="5" borderId="22" xfId="0" applyFont="1" applyFill="1" applyBorder="1" applyAlignment="1">
      <alignment horizontal="left"/>
    </xf>
    <xf numFmtId="20" fontId="11" fillId="5" borderId="22" xfId="0" applyNumberFormat="1" applyFont="1" applyFill="1" applyBorder="1" applyAlignment="1">
      <alignment horizontal="right"/>
    </xf>
    <xf numFmtId="20" fontId="11" fillId="5" borderId="23" xfId="0" applyNumberFormat="1" applyFont="1" applyFill="1" applyBorder="1" applyAlignment="1">
      <alignment horizontal="right"/>
    </xf>
    <xf numFmtId="14" fontId="14" fillId="5" borderId="23" xfId="0" applyNumberFormat="1" applyFont="1" applyFill="1" applyBorder="1" applyAlignment="1">
      <alignment wrapText="1"/>
    </xf>
    <xf numFmtId="14" fontId="14" fillId="5" borderId="24" xfId="0" applyNumberFormat="1" applyFont="1" applyFill="1" applyBorder="1" applyAlignment="1">
      <alignment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4" fillId="0" borderId="0" xfId="0" applyFont="1" applyFill="1"/>
    <xf numFmtId="42" fontId="4" fillId="0" borderId="0" xfId="5" applyFont="1" applyFill="1"/>
    <xf numFmtId="3" fontId="4" fillId="0" borderId="0" xfId="0" applyNumberFormat="1" applyFont="1" applyFill="1"/>
    <xf numFmtId="0" fontId="17" fillId="0" borderId="0" xfId="0" applyFont="1" applyFill="1"/>
    <xf numFmtId="17" fontId="4" fillId="0" borderId="0" xfId="0" applyNumberFormat="1" applyFont="1" applyFill="1"/>
    <xf numFmtId="0" fontId="4" fillId="0" borderId="5" xfId="0" applyFont="1" applyFill="1" applyBorder="1" applyAlignment="1">
      <alignment vertical="center"/>
    </xf>
    <xf numFmtId="42" fontId="4" fillId="0" borderId="5" xfId="5" applyFont="1" applyFill="1" applyBorder="1" applyAlignment="1">
      <alignment vertical="center"/>
    </xf>
    <xf numFmtId="42" fontId="4" fillId="0" borderId="5" xfId="5" applyFont="1" applyFill="1" applyBorder="1" applyAlignment="1">
      <alignment horizontal="right" vertical="center" wrapText="1"/>
    </xf>
    <xf numFmtId="42" fontId="4" fillId="0" borderId="5" xfId="5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18" xfId="0" applyFont="1" applyFill="1" applyBorder="1" applyAlignment="1">
      <alignment vertical="center"/>
    </xf>
    <xf numFmtId="42" fontId="4" fillId="0" borderId="31" xfId="5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42" fontId="4" fillId="0" borderId="32" xfId="5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42" fontId="4" fillId="0" borderId="0" xfId="5" applyFont="1" applyFill="1" applyAlignment="1">
      <alignment vertical="center"/>
    </xf>
    <xf numFmtId="0" fontId="21" fillId="4" borderId="5" xfId="0" applyFont="1" applyFill="1" applyBorder="1" applyAlignment="1">
      <alignment horizontal="center" vertical="center" wrapText="1"/>
    </xf>
    <xf numFmtId="42" fontId="21" fillId="4" borderId="5" xfId="5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42" fontId="21" fillId="4" borderId="6" xfId="5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0" fillId="5" borderId="9" xfId="0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8" fillId="2" borderId="5" xfId="1" applyNumberFormat="1" applyFont="1" applyFill="1" applyBorder="1" applyAlignment="1">
      <alignment horizontal="center" wrapText="1"/>
    </xf>
    <xf numFmtId="0" fontId="19" fillId="2" borderId="5" xfId="1" applyNumberFormat="1" applyFont="1" applyFill="1" applyBorder="1" applyAlignment="1">
      <alignment horizontal="center" vertical="center" wrapText="1"/>
    </xf>
    <xf numFmtId="0" fontId="29" fillId="2" borderId="5" xfId="0" applyNumberFormat="1" applyFont="1" applyFill="1" applyBorder="1" applyAlignment="1">
      <alignment horizontal="center" wrapText="1"/>
    </xf>
    <xf numFmtId="0" fontId="19" fillId="5" borderId="5" xfId="1" applyNumberFormat="1" applyFont="1" applyFill="1" applyBorder="1" applyAlignment="1">
      <alignment horizontal="center" vertical="center" wrapText="1"/>
    </xf>
    <xf numFmtId="0" fontId="13" fillId="5" borderId="5" xfId="0" applyNumberFormat="1" applyFont="1" applyFill="1" applyBorder="1" applyAlignment="1">
      <alignment horizontal="center"/>
    </xf>
    <xf numFmtId="0" fontId="0" fillId="4" borderId="5" xfId="0" applyFill="1" applyBorder="1"/>
    <xf numFmtId="4" fontId="0" fillId="4" borderId="9" xfId="0" applyNumberForma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17" fillId="0" borderId="0" xfId="0" applyFont="1" applyFill="1" applyAlignment="1">
      <alignment vertical="center"/>
    </xf>
    <xf numFmtId="42" fontId="17" fillId="0" borderId="0" xfId="5" applyFont="1" applyFill="1" applyAlignment="1">
      <alignment vertical="center"/>
    </xf>
    <xf numFmtId="0" fontId="17" fillId="0" borderId="9" xfId="0" applyFont="1" applyFill="1" applyBorder="1"/>
    <xf numFmtId="0" fontId="8" fillId="0" borderId="9" xfId="0" applyFont="1" applyFill="1" applyBorder="1"/>
    <xf numFmtId="0" fontId="8" fillId="0" borderId="0" xfId="0" applyFont="1" applyFill="1" applyAlignment="1">
      <alignment horizontal="center"/>
    </xf>
    <xf numFmtId="42" fontId="17" fillId="0" borderId="0" xfId="5" applyFont="1" applyFill="1"/>
    <xf numFmtId="42" fontId="17" fillId="0" borderId="9" xfId="5" applyFont="1" applyFill="1" applyBorder="1"/>
    <xf numFmtId="3" fontId="17" fillId="0" borderId="9" xfId="0" applyNumberFormat="1" applyFont="1" applyFill="1" applyBorder="1"/>
    <xf numFmtId="0" fontId="8" fillId="0" borderId="0" xfId="0" applyFont="1" applyFill="1"/>
    <xf numFmtId="0" fontId="8" fillId="0" borderId="2" xfId="0" applyFont="1" applyFill="1" applyBorder="1"/>
    <xf numFmtId="0" fontId="8" fillId="0" borderId="2" xfId="0" applyFont="1" applyFill="1" applyBorder="1" applyAlignment="1">
      <alignment horizontal="center"/>
    </xf>
    <xf numFmtId="0" fontId="8" fillId="5" borderId="9" xfId="0" applyFont="1" applyFill="1" applyBorder="1"/>
    <xf numFmtId="0" fontId="8" fillId="5" borderId="2" xfId="0" applyFont="1" applyFill="1" applyBorder="1"/>
    <xf numFmtId="0" fontId="3" fillId="0" borderId="5" xfId="0" applyFont="1" applyFill="1" applyBorder="1" applyAlignment="1">
      <alignment vertical="center"/>
    </xf>
    <xf numFmtId="0" fontId="8" fillId="0" borderId="0" xfId="0" applyFont="1" applyFill="1" applyAlignment="1">
      <alignment horizontal="center"/>
    </xf>
    <xf numFmtId="42" fontId="4" fillId="3" borderId="5" xfId="5" applyFont="1" applyFill="1" applyBorder="1" applyAlignment="1">
      <alignment vertical="center"/>
    </xf>
    <xf numFmtId="14" fontId="4" fillId="0" borderId="5" xfId="0" applyNumberFormat="1" applyFont="1" applyFill="1" applyBorder="1" applyAlignment="1">
      <alignment vertical="center"/>
    </xf>
    <xf numFmtId="0" fontId="2" fillId="0" borderId="0" xfId="0" applyFont="1" applyFill="1"/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/>
    <xf numFmtId="42" fontId="4" fillId="0" borderId="5" xfId="5" applyFont="1" applyFill="1" applyBorder="1"/>
    <xf numFmtId="0" fontId="21" fillId="4" borderId="5" xfId="0" applyFont="1" applyFill="1" applyBorder="1"/>
    <xf numFmtId="0" fontId="8" fillId="0" borderId="0" xfId="0" applyFont="1" applyFill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27" fillId="4" borderId="33" xfId="0" applyFont="1" applyFill="1" applyBorder="1" applyAlignment="1"/>
    <xf numFmtId="0" fontId="8" fillId="3" borderId="8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42" fontId="4" fillId="8" borderId="5" xfId="5" applyFont="1" applyFill="1" applyBorder="1" applyAlignment="1">
      <alignment vertical="center"/>
    </xf>
    <xf numFmtId="0" fontId="8" fillId="5" borderId="2" xfId="0" applyFont="1" applyFill="1" applyBorder="1" applyAlignment="1">
      <alignment horizontal="center"/>
    </xf>
    <xf numFmtId="0" fontId="23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vertical="center"/>
    </xf>
    <xf numFmtId="0" fontId="10" fillId="4" borderId="15" xfId="0" applyFont="1" applyFill="1" applyBorder="1" applyAlignment="1">
      <alignment vertical="center"/>
    </xf>
    <xf numFmtId="0" fontId="0" fillId="5" borderId="9" xfId="0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22" fillId="4" borderId="29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/>
    </xf>
    <xf numFmtId="0" fontId="21" fillId="4" borderId="14" xfId="0" applyFont="1" applyFill="1" applyBorder="1" applyAlignment="1">
      <alignment horizontal="center"/>
    </xf>
    <xf numFmtId="0" fontId="21" fillId="4" borderId="15" xfId="0" applyFont="1" applyFill="1" applyBorder="1" applyAlignment="1">
      <alignment horizontal="center"/>
    </xf>
    <xf numFmtId="3" fontId="21" fillId="4" borderId="13" xfId="0" applyNumberFormat="1" applyFont="1" applyFill="1" applyBorder="1" applyAlignment="1">
      <alignment horizontal="center"/>
    </xf>
    <xf numFmtId="3" fontId="21" fillId="4" borderId="14" xfId="0" applyNumberFormat="1" applyFont="1" applyFill="1" applyBorder="1" applyAlignment="1">
      <alignment horizontal="center"/>
    </xf>
    <xf numFmtId="3" fontId="21" fillId="4" borderId="15" xfId="0" applyNumberFormat="1" applyFont="1" applyFill="1" applyBorder="1" applyAlignment="1">
      <alignment horizontal="center"/>
    </xf>
    <xf numFmtId="0" fontId="24" fillId="4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0" fillId="4" borderId="5" xfId="0" applyFill="1" applyBorder="1" applyAlignment="1">
      <alignment horizontal="center"/>
    </xf>
    <xf numFmtId="0" fontId="26" fillId="4" borderId="13" xfId="0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/>
    </xf>
    <xf numFmtId="0" fontId="26" fillId="4" borderId="15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23" fillId="4" borderId="13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</cellXfs>
  <cellStyles count="6">
    <cellStyle name="Moneda [0]" xfId="5" builtinId="7"/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  <colors>
    <mruColors>
      <color rgb="FFFF9966"/>
      <color rgb="FF0033CC"/>
      <color rgb="FF0000FF"/>
      <color rgb="FF1427B4"/>
      <color rgb="FF182FD6"/>
      <color rgb="FF008000"/>
      <color rgb="FFFFFF0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1:A1000"/>
  <sheetViews>
    <sheetView workbookViewId="0"/>
  </sheetViews>
  <sheetFormatPr baseColWidth="10" defaultColWidth="14.44140625" defaultRowHeight="15" customHeight="1" x14ac:dyDescent="0.3"/>
  <cols>
    <col min="1" max="26" width="10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21:A1000"/>
  <sheetViews>
    <sheetView workbookViewId="0"/>
  </sheetViews>
  <sheetFormatPr baseColWidth="10" defaultColWidth="14.44140625" defaultRowHeight="15" customHeight="1" x14ac:dyDescent="0.3"/>
  <cols>
    <col min="1" max="26" width="10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21:A1000"/>
  <sheetViews>
    <sheetView workbookViewId="0"/>
  </sheetViews>
  <sheetFormatPr baseColWidth="10" defaultColWidth="14.44140625" defaultRowHeight="15" customHeight="1" x14ac:dyDescent="0.3"/>
  <cols>
    <col min="1" max="26" width="10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21:A1000"/>
  <sheetViews>
    <sheetView workbookViewId="0"/>
  </sheetViews>
  <sheetFormatPr baseColWidth="10" defaultColWidth="14.44140625" defaultRowHeight="15" customHeight="1" x14ac:dyDescent="0.3"/>
  <cols>
    <col min="1" max="26" width="10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B3:H950"/>
  <sheetViews>
    <sheetView tabSelected="1" zoomScale="110" zoomScaleNormal="110" workbookViewId="0">
      <selection activeCell="C23" sqref="C23"/>
    </sheetView>
  </sheetViews>
  <sheetFormatPr baseColWidth="10" defaultColWidth="14.44140625" defaultRowHeight="15" customHeight="1" x14ac:dyDescent="0.3"/>
  <cols>
    <col min="1" max="1" width="14.44140625" style="46"/>
    <col min="2" max="2" width="17.44140625" style="47" customWidth="1"/>
    <col min="3" max="3" width="30.6640625" style="46" customWidth="1"/>
    <col min="4" max="5" width="13.33203125" style="47" customWidth="1"/>
    <col min="6" max="6" width="11.6640625" style="46" customWidth="1"/>
    <col min="7" max="7" width="11.44140625" style="46" customWidth="1"/>
    <col min="8" max="8" width="19.6640625" style="46" customWidth="1"/>
    <col min="9" max="28" width="10" style="46" customWidth="1"/>
    <col min="29" max="16384" width="14.44140625" style="46"/>
  </cols>
  <sheetData>
    <row r="3" spans="2:8" ht="15" customHeight="1" thickBot="1" x14ac:dyDescent="0.35"/>
    <row r="4" spans="2:8" ht="30.6" customHeight="1" thickBot="1" x14ac:dyDescent="0.35">
      <c r="B4" s="145" t="s">
        <v>15</v>
      </c>
      <c r="C4" s="146"/>
      <c r="D4" s="146"/>
      <c r="E4" s="146"/>
      <c r="F4" s="146"/>
      <c r="G4" s="147"/>
    </row>
    <row r="5" spans="2:8" ht="15" customHeight="1" thickBot="1" x14ac:dyDescent="0.35"/>
    <row r="6" spans="2:8" ht="44.25" customHeight="1" thickBot="1" x14ac:dyDescent="0.35">
      <c r="B6" s="75" t="s">
        <v>12</v>
      </c>
      <c r="C6" s="76" t="s">
        <v>9</v>
      </c>
      <c r="D6" s="76" t="s">
        <v>2</v>
      </c>
      <c r="E6" s="76" t="s">
        <v>11</v>
      </c>
      <c r="F6" s="76" t="s">
        <v>0</v>
      </c>
      <c r="G6" s="77" t="s">
        <v>1</v>
      </c>
      <c r="H6" s="77" t="s">
        <v>53</v>
      </c>
    </row>
    <row r="7" spans="2:8" ht="15" customHeight="1" x14ac:dyDescent="0.3">
      <c r="B7" s="49"/>
      <c r="C7" s="50"/>
      <c r="D7" s="51"/>
      <c r="E7" s="51"/>
      <c r="F7" s="52"/>
      <c r="G7" s="53"/>
      <c r="H7" s="53"/>
    </row>
    <row r="8" spans="2:8" ht="15" customHeight="1" x14ac:dyDescent="0.3">
      <c r="B8" s="54"/>
      <c r="C8" s="55"/>
      <c r="D8" s="56"/>
      <c r="E8" s="51"/>
      <c r="F8" s="52"/>
      <c r="G8" s="53"/>
      <c r="H8" s="53"/>
    </row>
    <row r="9" spans="2:8" ht="15" customHeight="1" x14ac:dyDescent="0.3">
      <c r="B9" s="54"/>
      <c r="C9" s="55"/>
      <c r="D9" s="56"/>
      <c r="E9" s="51"/>
      <c r="F9" s="52"/>
      <c r="G9" s="53"/>
      <c r="H9" s="53"/>
    </row>
    <row r="10" spans="2:8" ht="15" customHeight="1" x14ac:dyDescent="0.3">
      <c r="B10" s="54"/>
      <c r="C10" s="57"/>
      <c r="D10" s="56"/>
      <c r="E10" s="51"/>
      <c r="F10" s="52"/>
      <c r="G10" s="53"/>
      <c r="H10" s="53"/>
    </row>
    <row r="11" spans="2:8" ht="15" customHeight="1" x14ac:dyDescent="0.3">
      <c r="B11" s="54"/>
      <c r="C11" s="57"/>
      <c r="D11" s="56"/>
      <c r="E11" s="51"/>
      <c r="F11" s="52"/>
      <c r="G11" s="53"/>
      <c r="H11" s="53"/>
    </row>
    <row r="12" spans="2:8" ht="15" customHeight="1" x14ac:dyDescent="0.3">
      <c r="B12" s="58"/>
      <c r="C12" s="57"/>
      <c r="D12" s="59"/>
      <c r="E12" s="60"/>
      <c r="F12" s="52"/>
      <c r="G12" s="53"/>
      <c r="H12" s="53"/>
    </row>
    <row r="13" spans="2:8" ht="15" customHeight="1" x14ac:dyDescent="0.3">
      <c r="B13" s="54"/>
      <c r="C13" s="55"/>
      <c r="D13" s="56"/>
      <c r="E13" s="51"/>
      <c r="F13" s="52"/>
      <c r="G13" s="53"/>
      <c r="H13" s="53"/>
    </row>
    <row r="14" spans="2:8" ht="15" customHeight="1" x14ac:dyDescent="0.3">
      <c r="B14" s="58"/>
      <c r="C14" s="57"/>
      <c r="D14" s="59"/>
      <c r="E14" s="60"/>
      <c r="F14" s="52"/>
      <c r="G14" s="53"/>
      <c r="H14" s="53"/>
    </row>
    <row r="15" spans="2:8" ht="15" customHeight="1" x14ac:dyDescent="0.3">
      <c r="B15" s="58"/>
      <c r="C15" s="57"/>
      <c r="D15" s="59"/>
      <c r="E15" s="60"/>
      <c r="F15" s="52"/>
      <c r="G15" s="53"/>
      <c r="H15" s="53"/>
    </row>
    <row r="16" spans="2:8" ht="15" customHeight="1" x14ac:dyDescent="0.3">
      <c r="B16" s="58"/>
      <c r="C16" s="57"/>
      <c r="D16" s="56"/>
      <c r="E16" s="51"/>
      <c r="F16" s="52"/>
      <c r="G16" s="53"/>
      <c r="H16" s="53"/>
    </row>
    <row r="17" spans="2:8" ht="15" customHeight="1" x14ac:dyDescent="0.3">
      <c r="B17" s="58"/>
      <c r="C17" s="57"/>
      <c r="D17" s="59"/>
      <c r="E17" s="60"/>
      <c r="F17" s="52"/>
      <c r="G17" s="53"/>
      <c r="H17" s="53"/>
    </row>
    <row r="18" spans="2:8" ht="15" customHeight="1" x14ac:dyDescent="0.3">
      <c r="B18" s="58"/>
      <c r="C18" s="57"/>
      <c r="D18" s="56"/>
      <c r="E18" s="51"/>
      <c r="F18" s="52"/>
      <c r="G18" s="53"/>
      <c r="H18" s="53"/>
    </row>
    <row r="19" spans="2:8" ht="15" customHeight="1" x14ac:dyDescent="0.3">
      <c r="B19" s="54"/>
      <c r="C19" s="55"/>
      <c r="D19" s="56"/>
      <c r="E19" s="51"/>
      <c r="F19" s="52"/>
      <c r="G19" s="53"/>
      <c r="H19" s="53"/>
    </row>
    <row r="20" spans="2:8" ht="15" customHeight="1" x14ac:dyDescent="0.3">
      <c r="B20" s="61"/>
      <c r="C20" s="62"/>
      <c r="D20" s="56"/>
      <c r="E20" s="51"/>
      <c r="F20" s="52"/>
      <c r="G20" s="53"/>
      <c r="H20" s="53"/>
    </row>
    <row r="21" spans="2:8" ht="15" customHeight="1" x14ac:dyDescent="0.3">
      <c r="B21" s="61"/>
      <c r="C21" s="62"/>
      <c r="D21" s="56"/>
      <c r="E21" s="51"/>
      <c r="F21" s="52"/>
      <c r="G21" s="53"/>
      <c r="H21" s="53"/>
    </row>
    <row r="22" spans="2:8" ht="15" customHeight="1" x14ac:dyDescent="0.3">
      <c r="B22" s="61"/>
      <c r="C22" s="62"/>
      <c r="D22" s="56"/>
      <c r="E22" s="51"/>
      <c r="F22" s="52"/>
      <c r="G22" s="53"/>
      <c r="H22" s="53"/>
    </row>
    <row r="23" spans="2:8" ht="15" customHeight="1" x14ac:dyDescent="0.3">
      <c r="B23" s="58"/>
      <c r="C23" s="57"/>
      <c r="D23" s="56"/>
      <c r="E23" s="51"/>
      <c r="F23" s="52"/>
      <c r="G23" s="53"/>
      <c r="H23" s="53"/>
    </row>
    <row r="24" spans="2:8" ht="15" customHeight="1" x14ac:dyDescent="0.3">
      <c r="B24" s="58"/>
      <c r="C24" s="57"/>
      <c r="D24" s="56"/>
      <c r="E24" s="51"/>
      <c r="F24" s="52"/>
      <c r="G24" s="53"/>
      <c r="H24" s="53"/>
    </row>
    <row r="25" spans="2:8" ht="15" customHeight="1" x14ac:dyDescent="0.3">
      <c r="B25" s="58"/>
      <c r="C25" s="57"/>
      <c r="D25" s="56"/>
      <c r="E25" s="51"/>
      <c r="F25" s="52"/>
      <c r="G25" s="53"/>
      <c r="H25" s="53"/>
    </row>
    <row r="26" spans="2:8" ht="15" customHeight="1" x14ac:dyDescent="0.3">
      <c r="B26" s="58"/>
      <c r="C26" s="57"/>
      <c r="D26" s="56"/>
      <c r="E26" s="51"/>
      <c r="F26" s="52"/>
      <c r="G26" s="53"/>
      <c r="H26" s="53"/>
    </row>
    <row r="27" spans="2:8" ht="15" customHeight="1" x14ac:dyDescent="0.3">
      <c r="B27" s="58"/>
      <c r="C27" s="57"/>
      <c r="D27" s="56"/>
      <c r="E27" s="51"/>
      <c r="F27" s="52"/>
      <c r="G27" s="53"/>
      <c r="H27" s="53"/>
    </row>
    <row r="28" spans="2:8" ht="15" customHeight="1" x14ac:dyDescent="0.3">
      <c r="B28" s="58"/>
      <c r="C28" s="57"/>
      <c r="D28" s="56"/>
      <c r="E28" s="51"/>
      <c r="F28" s="52"/>
      <c r="G28" s="53"/>
      <c r="H28" s="53"/>
    </row>
    <row r="29" spans="2:8" ht="15" customHeight="1" x14ac:dyDescent="0.3">
      <c r="B29" s="58"/>
      <c r="C29" s="57"/>
      <c r="D29" s="59"/>
      <c r="E29" s="60"/>
      <c r="F29" s="52"/>
      <c r="G29" s="53"/>
      <c r="H29" s="53"/>
    </row>
    <row r="30" spans="2:8" ht="15" customHeight="1" x14ac:dyDescent="0.3">
      <c r="B30" s="63"/>
      <c r="C30" s="64"/>
      <c r="D30" s="56"/>
      <c r="E30" s="51"/>
      <c r="F30" s="52"/>
      <c r="G30" s="53"/>
      <c r="H30" s="53"/>
    </row>
    <row r="31" spans="2:8" ht="15" customHeight="1" x14ac:dyDescent="0.3">
      <c r="B31" s="63"/>
      <c r="C31" s="64"/>
      <c r="D31" s="56"/>
      <c r="E31" s="51"/>
      <c r="F31" s="52"/>
      <c r="G31" s="53"/>
      <c r="H31" s="53"/>
    </row>
    <row r="32" spans="2:8" ht="15" customHeight="1" x14ac:dyDescent="0.3">
      <c r="B32" s="63"/>
      <c r="C32" s="64"/>
      <c r="D32" s="56"/>
      <c r="E32" s="51"/>
      <c r="F32" s="52"/>
      <c r="G32" s="53"/>
      <c r="H32" s="53"/>
    </row>
    <row r="33" spans="2:8" ht="15" customHeight="1" x14ac:dyDescent="0.3">
      <c r="B33" s="63"/>
      <c r="C33" s="64"/>
      <c r="D33" s="56"/>
      <c r="E33" s="51"/>
      <c r="F33" s="52"/>
      <c r="G33" s="53"/>
      <c r="H33" s="53"/>
    </row>
    <row r="34" spans="2:8" ht="15" customHeight="1" x14ac:dyDescent="0.3">
      <c r="B34" s="63"/>
      <c r="C34" s="64"/>
      <c r="D34" s="56"/>
      <c r="E34" s="51"/>
      <c r="F34" s="52"/>
      <c r="G34" s="53"/>
      <c r="H34" s="53"/>
    </row>
    <row r="35" spans="2:8" ht="15" customHeight="1" x14ac:dyDescent="0.3">
      <c r="B35" s="65"/>
      <c r="C35" s="66"/>
      <c r="D35" s="56"/>
      <c r="E35" s="51"/>
      <c r="F35" s="52"/>
      <c r="G35" s="53"/>
      <c r="H35" s="53"/>
    </row>
    <row r="36" spans="2:8" ht="15" customHeight="1" x14ac:dyDescent="0.3">
      <c r="B36" s="58"/>
      <c r="C36" s="57"/>
      <c r="D36" s="56"/>
      <c r="E36" s="51"/>
      <c r="F36" s="52"/>
      <c r="G36" s="53"/>
      <c r="H36" s="53"/>
    </row>
    <row r="37" spans="2:8" ht="15" customHeight="1" x14ac:dyDescent="0.3">
      <c r="B37" s="58"/>
      <c r="C37" s="57"/>
      <c r="D37" s="56"/>
      <c r="E37" s="51"/>
      <c r="F37" s="52"/>
      <c r="G37" s="53"/>
      <c r="H37" s="53"/>
    </row>
    <row r="38" spans="2:8" ht="15" customHeight="1" x14ac:dyDescent="0.3">
      <c r="B38" s="54"/>
      <c r="C38" s="55"/>
      <c r="D38" s="56"/>
      <c r="E38" s="51"/>
      <c r="F38" s="52"/>
      <c r="G38" s="53"/>
      <c r="H38" s="53"/>
    </row>
    <row r="39" spans="2:8" ht="15" customHeight="1" x14ac:dyDescent="0.3">
      <c r="B39" s="58"/>
      <c r="C39" s="57"/>
      <c r="D39" s="56"/>
      <c r="E39" s="51"/>
      <c r="F39" s="52"/>
      <c r="G39" s="53"/>
      <c r="H39" s="53"/>
    </row>
    <row r="40" spans="2:8" ht="15" customHeight="1" x14ac:dyDescent="0.3">
      <c r="B40" s="58"/>
      <c r="C40" s="57"/>
      <c r="D40" s="56"/>
      <c r="E40" s="51"/>
      <c r="F40" s="52"/>
      <c r="G40" s="53"/>
      <c r="H40" s="53"/>
    </row>
    <row r="41" spans="2:8" ht="15" customHeight="1" x14ac:dyDescent="0.3">
      <c r="B41" s="58"/>
      <c r="C41" s="57"/>
      <c r="D41" s="56"/>
      <c r="E41" s="51"/>
      <c r="F41" s="52"/>
      <c r="G41" s="53"/>
      <c r="H41" s="53"/>
    </row>
    <row r="42" spans="2:8" ht="15" customHeight="1" x14ac:dyDescent="0.3">
      <c r="B42" s="58"/>
      <c r="C42" s="57"/>
      <c r="D42" s="67"/>
      <c r="E42" s="68"/>
      <c r="F42" s="52"/>
      <c r="G42" s="53"/>
      <c r="H42" s="53"/>
    </row>
    <row r="43" spans="2:8" ht="15.75" customHeight="1" thickBot="1" x14ac:dyDescent="0.35">
      <c r="B43" s="69"/>
      <c r="C43" s="70"/>
      <c r="D43" s="71"/>
      <c r="E43" s="72"/>
      <c r="F43" s="73"/>
      <c r="G43" s="74"/>
      <c r="H43" s="74"/>
    </row>
    <row r="44" spans="2:8" ht="15.75" customHeight="1" x14ac:dyDescent="0.3"/>
    <row r="45" spans="2:8" ht="15.75" customHeight="1" x14ac:dyDescent="0.3"/>
    <row r="46" spans="2:8" ht="15.75" customHeight="1" x14ac:dyDescent="0.3"/>
    <row r="47" spans="2:8" ht="15.75" customHeight="1" thickBot="1" x14ac:dyDescent="0.35">
      <c r="C47" s="102"/>
      <c r="E47" s="148"/>
      <c r="F47" s="148"/>
    </row>
    <row r="48" spans="2:8" ht="15.75" customHeight="1" x14ac:dyDescent="0.3">
      <c r="C48" s="113" t="s">
        <v>27</v>
      </c>
      <c r="E48" s="149" t="s">
        <v>29</v>
      </c>
      <c r="F48" s="149"/>
    </row>
    <row r="49" spans="3:6" ht="15.75" customHeight="1" x14ac:dyDescent="0.3">
      <c r="C49" s="113" t="s">
        <v>28</v>
      </c>
      <c r="E49" s="150" t="s">
        <v>30</v>
      </c>
      <c r="F49" s="150"/>
    </row>
    <row r="50" spans="3:6" ht="15.75" customHeight="1" x14ac:dyDescent="0.3"/>
    <row r="51" spans="3:6" ht="15.75" customHeight="1" x14ac:dyDescent="0.3"/>
    <row r="52" spans="3:6" ht="15.75" customHeight="1" x14ac:dyDescent="0.3"/>
    <row r="53" spans="3:6" ht="15.75" customHeight="1" x14ac:dyDescent="0.3"/>
    <row r="54" spans="3:6" ht="15.75" customHeight="1" x14ac:dyDescent="0.3"/>
    <row r="55" spans="3:6" ht="15.75" customHeight="1" x14ac:dyDescent="0.3"/>
    <row r="56" spans="3:6" ht="15.75" customHeight="1" x14ac:dyDescent="0.3"/>
    <row r="57" spans="3:6" ht="15.75" customHeight="1" x14ac:dyDescent="0.3"/>
    <row r="58" spans="3:6" ht="15.75" customHeight="1" x14ac:dyDescent="0.3"/>
    <row r="59" spans="3:6" ht="15.75" customHeight="1" x14ac:dyDescent="0.3"/>
    <row r="60" spans="3:6" ht="15.75" customHeight="1" x14ac:dyDescent="0.3"/>
    <row r="61" spans="3:6" ht="15.75" customHeight="1" x14ac:dyDescent="0.3"/>
    <row r="62" spans="3:6" ht="15.75" customHeight="1" x14ac:dyDescent="0.3"/>
    <row r="63" spans="3:6" ht="15.75" customHeight="1" x14ac:dyDescent="0.3"/>
    <row r="64" spans="3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</sheetData>
  <autoFilter ref="B6:G43">
    <sortState ref="B4:F38">
      <sortCondition ref="C4:C38"/>
    </sortState>
  </autoFilter>
  <sortState ref="B4:F29">
    <sortCondition ref="C4:C29"/>
  </sortState>
  <mergeCells count="4">
    <mergeCell ref="B4:G4"/>
    <mergeCell ref="E47:F47"/>
    <mergeCell ref="E48:F48"/>
    <mergeCell ref="E49:F49"/>
  </mergeCells>
  <phoneticPr fontId="12" type="noConversion"/>
  <pageMargins left="1.6929133858267718" right="0" top="0.74803149606299213" bottom="0.74803149606299213" header="0" footer="0"/>
  <pageSetup paperSize="5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7"/>
  <dimension ref="A1:O77"/>
  <sheetViews>
    <sheetView workbookViewId="0">
      <pane xSplit="1" topLeftCell="B1" activePane="topRight" state="frozen"/>
      <selection pane="topRight" activeCell="A26" sqref="A26"/>
    </sheetView>
  </sheetViews>
  <sheetFormatPr baseColWidth="10" defaultRowHeight="14.4" x14ac:dyDescent="0.3"/>
  <cols>
    <col min="1" max="1" width="11.5546875" style="78"/>
    <col min="2" max="2" width="31.109375" style="78" customWidth="1"/>
    <col min="3" max="3" width="13.33203125" style="79" customWidth="1"/>
    <col min="4" max="4" width="8.33203125" style="78" customWidth="1"/>
    <col min="5" max="5" width="11.109375" style="78" customWidth="1"/>
    <col min="6" max="6" width="11.5546875" style="78" customWidth="1"/>
    <col min="7" max="7" width="8.6640625" style="79" customWidth="1"/>
    <col min="8" max="8" width="10.88671875" style="79" customWidth="1"/>
    <col min="9" max="9" width="9.88671875" style="80" customWidth="1"/>
    <col min="10" max="10" width="8.6640625" style="79" customWidth="1"/>
    <col min="11" max="11" width="10.44140625" style="79" customWidth="1"/>
    <col min="12" max="13" width="11.5546875" style="78"/>
    <col min="14" max="14" width="17.88671875" style="78" customWidth="1"/>
    <col min="15" max="15" width="22.109375" style="78" customWidth="1"/>
    <col min="16" max="253" width="11.5546875" style="78"/>
    <col min="254" max="254" width="30.33203125" style="78" customWidth="1"/>
    <col min="255" max="255" width="10.44140625" style="78" customWidth="1"/>
    <col min="256" max="257" width="11.5546875" style="78"/>
    <col min="258" max="258" width="10.33203125" style="78" customWidth="1"/>
    <col min="259" max="259" width="9.5546875" style="78" customWidth="1"/>
    <col min="260" max="260" width="13.109375" style="78" customWidth="1"/>
    <col min="261" max="261" width="9.88671875" style="78" customWidth="1"/>
    <col min="262" max="262" width="9.109375" style="78" customWidth="1"/>
    <col min="263" max="264" width="13.88671875" style="78" customWidth="1"/>
    <col min="265" max="265" width="10.5546875" style="78" customWidth="1"/>
    <col min="266" max="266" width="15.109375" style="78" customWidth="1"/>
    <col min="267" max="267" width="20.44140625" style="78" customWidth="1"/>
    <col min="268" max="509" width="11.5546875" style="78"/>
    <col min="510" max="510" width="30.33203125" style="78" customWidth="1"/>
    <col min="511" max="511" width="10.44140625" style="78" customWidth="1"/>
    <col min="512" max="513" width="11.5546875" style="78"/>
    <col min="514" max="514" width="10.33203125" style="78" customWidth="1"/>
    <col min="515" max="515" width="9.5546875" style="78" customWidth="1"/>
    <col min="516" max="516" width="13.109375" style="78" customWidth="1"/>
    <col min="517" max="517" width="9.88671875" style="78" customWidth="1"/>
    <col min="518" max="518" width="9.109375" style="78" customWidth="1"/>
    <col min="519" max="520" width="13.88671875" style="78" customWidth="1"/>
    <col min="521" max="521" width="10.5546875" style="78" customWidth="1"/>
    <col min="522" max="522" width="15.109375" style="78" customWidth="1"/>
    <col min="523" max="523" width="20.44140625" style="78" customWidth="1"/>
    <col min="524" max="765" width="11.5546875" style="78"/>
    <col min="766" max="766" width="30.33203125" style="78" customWidth="1"/>
    <col min="767" max="767" width="10.44140625" style="78" customWidth="1"/>
    <col min="768" max="769" width="11.5546875" style="78"/>
    <col min="770" max="770" width="10.33203125" style="78" customWidth="1"/>
    <col min="771" max="771" width="9.5546875" style="78" customWidth="1"/>
    <col min="772" max="772" width="13.109375" style="78" customWidth="1"/>
    <col min="773" max="773" width="9.88671875" style="78" customWidth="1"/>
    <col min="774" max="774" width="9.109375" style="78" customWidth="1"/>
    <col min="775" max="776" width="13.88671875" style="78" customWidth="1"/>
    <col min="777" max="777" width="10.5546875" style="78" customWidth="1"/>
    <col min="778" max="778" width="15.109375" style="78" customWidth="1"/>
    <col min="779" max="779" width="20.44140625" style="78" customWidth="1"/>
    <col min="780" max="1021" width="11.5546875" style="78"/>
    <col min="1022" max="1022" width="30.33203125" style="78" customWidth="1"/>
    <col min="1023" max="1023" width="10.44140625" style="78" customWidth="1"/>
    <col min="1024" max="1025" width="11.5546875" style="78"/>
    <col min="1026" max="1026" width="10.33203125" style="78" customWidth="1"/>
    <col min="1027" max="1027" width="9.5546875" style="78" customWidth="1"/>
    <col min="1028" max="1028" width="13.109375" style="78" customWidth="1"/>
    <col min="1029" max="1029" width="9.88671875" style="78" customWidth="1"/>
    <col min="1030" max="1030" width="9.109375" style="78" customWidth="1"/>
    <col min="1031" max="1032" width="13.88671875" style="78" customWidth="1"/>
    <col min="1033" max="1033" width="10.5546875" style="78" customWidth="1"/>
    <col min="1034" max="1034" width="15.109375" style="78" customWidth="1"/>
    <col min="1035" max="1035" width="20.44140625" style="78" customWidth="1"/>
    <col min="1036" max="1277" width="11.5546875" style="78"/>
    <col min="1278" max="1278" width="30.33203125" style="78" customWidth="1"/>
    <col min="1279" max="1279" width="10.44140625" style="78" customWidth="1"/>
    <col min="1280" max="1281" width="11.5546875" style="78"/>
    <col min="1282" max="1282" width="10.33203125" style="78" customWidth="1"/>
    <col min="1283" max="1283" width="9.5546875" style="78" customWidth="1"/>
    <col min="1284" max="1284" width="13.109375" style="78" customWidth="1"/>
    <col min="1285" max="1285" width="9.88671875" style="78" customWidth="1"/>
    <col min="1286" max="1286" width="9.109375" style="78" customWidth="1"/>
    <col min="1287" max="1288" width="13.88671875" style="78" customWidth="1"/>
    <col min="1289" max="1289" width="10.5546875" style="78" customWidth="1"/>
    <col min="1290" max="1290" width="15.109375" style="78" customWidth="1"/>
    <col min="1291" max="1291" width="20.44140625" style="78" customWidth="1"/>
    <col min="1292" max="1533" width="11.5546875" style="78"/>
    <col min="1534" max="1534" width="30.33203125" style="78" customWidth="1"/>
    <col min="1535" max="1535" width="10.44140625" style="78" customWidth="1"/>
    <col min="1536" max="1537" width="11.5546875" style="78"/>
    <col min="1538" max="1538" width="10.33203125" style="78" customWidth="1"/>
    <col min="1539" max="1539" width="9.5546875" style="78" customWidth="1"/>
    <col min="1540" max="1540" width="13.109375" style="78" customWidth="1"/>
    <col min="1541" max="1541" width="9.88671875" style="78" customWidth="1"/>
    <col min="1542" max="1542" width="9.109375" style="78" customWidth="1"/>
    <col min="1543" max="1544" width="13.88671875" style="78" customWidth="1"/>
    <col min="1545" max="1545" width="10.5546875" style="78" customWidth="1"/>
    <col min="1546" max="1546" width="15.109375" style="78" customWidth="1"/>
    <col min="1547" max="1547" width="20.44140625" style="78" customWidth="1"/>
    <col min="1548" max="1789" width="11.5546875" style="78"/>
    <col min="1790" max="1790" width="30.33203125" style="78" customWidth="1"/>
    <col min="1791" max="1791" width="10.44140625" style="78" customWidth="1"/>
    <col min="1792" max="1793" width="11.5546875" style="78"/>
    <col min="1794" max="1794" width="10.33203125" style="78" customWidth="1"/>
    <col min="1795" max="1795" width="9.5546875" style="78" customWidth="1"/>
    <col min="1796" max="1796" width="13.109375" style="78" customWidth="1"/>
    <col min="1797" max="1797" width="9.88671875" style="78" customWidth="1"/>
    <col min="1798" max="1798" width="9.109375" style="78" customWidth="1"/>
    <col min="1799" max="1800" width="13.88671875" style="78" customWidth="1"/>
    <col min="1801" max="1801" width="10.5546875" style="78" customWidth="1"/>
    <col min="1802" max="1802" width="15.109375" style="78" customWidth="1"/>
    <col min="1803" max="1803" width="20.44140625" style="78" customWidth="1"/>
    <col min="1804" max="2045" width="11.5546875" style="78"/>
    <col min="2046" max="2046" width="30.33203125" style="78" customWidth="1"/>
    <col min="2047" max="2047" width="10.44140625" style="78" customWidth="1"/>
    <col min="2048" max="2049" width="11.5546875" style="78"/>
    <col min="2050" max="2050" width="10.33203125" style="78" customWidth="1"/>
    <col min="2051" max="2051" width="9.5546875" style="78" customWidth="1"/>
    <col min="2052" max="2052" width="13.109375" style="78" customWidth="1"/>
    <col min="2053" max="2053" width="9.88671875" style="78" customWidth="1"/>
    <col min="2054" max="2054" width="9.109375" style="78" customWidth="1"/>
    <col min="2055" max="2056" width="13.88671875" style="78" customWidth="1"/>
    <col min="2057" max="2057" width="10.5546875" style="78" customWidth="1"/>
    <col min="2058" max="2058" width="15.109375" style="78" customWidth="1"/>
    <col min="2059" max="2059" width="20.44140625" style="78" customWidth="1"/>
    <col min="2060" max="2301" width="11.5546875" style="78"/>
    <col min="2302" max="2302" width="30.33203125" style="78" customWidth="1"/>
    <col min="2303" max="2303" width="10.44140625" style="78" customWidth="1"/>
    <col min="2304" max="2305" width="11.5546875" style="78"/>
    <col min="2306" max="2306" width="10.33203125" style="78" customWidth="1"/>
    <col min="2307" max="2307" width="9.5546875" style="78" customWidth="1"/>
    <col min="2308" max="2308" width="13.109375" style="78" customWidth="1"/>
    <col min="2309" max="2309" width="9.88671875" style="78" customWidth="1"/>
    <col min="2310" max="2310" width="9.109375" style="78" customWidth="1"/>
    <col min="2311" max="2312" width="13.88671875" style="78" customWidth="1"/>
    <col min="2313" max="2313" width="10.5546875" style="78" customWidth="1"/>
    <col min="2314" max="2314" width="15.109375" style="78" customWidth="1"/>
    <col min="2315" max="2315" width="20.44140625" style="78" customWidth="1"/>
    <col min="2316" max="2557" width="11.5546875" style="78"/>
    <col min="2558" max="2558" width="30.33203125" style="78" customWidth="1"/>
    <col min="2559" max="2559" width="10.44140625" style="78" customWidth="1"/>
    <col min="2560" max="2561" width="11.5546875" style="78"/>
    <col min="2562" max="2562" width="10.33203125" style="78" customWidth="1"/>
    <col min="2563" max="2563" width="9.5546875" style="78" customWidth="1"/>
    <col min="2564" max="2564" width="13.109375" style="78" customWidth="1"/>
    <col min="2565" max="2565" width="9.88671875" style="78" customWidth="1"/>
    <col min="2566" max="2566" width="9.109375" style="78" customWidth="1"/>
    <col min="2567" max="2568" width="13.88671875" style="78" customWidth="1"/>
    <col min="2569" max="2569" width="10.5546875" style="78" customWidth="1"/>
    <col min="2570" max="2570" width="15.109375" style="78" customWidth="1"/>
    <col min="2571" max="2571" width="20.44140625" style="78" customWidth="1"/>
    <col min="2572" max="2813" width="11.5546875" style="78"/>
    <col min="2814" max="2814" width="30.33203125" style="78" customWidth="1"/>
    <col min="2815" max="2815" width="10.44140625" style="78" customWidth="1"/>
    <col min="2816" max="2817" width="11.5546875" style="78"/>
    <col min="2818" max="2818" width="10.33203125" style="78" customWidth="1"/>
    <col min="2819" max="2819" width="9.5546875" style="78" customWidth="1"/>
    <col min="2820" max="2820" width="13.109375" style="78" customWidth="1"/>
    <col min="2821" max="2821" width="9.88671875" style="78" customWidth="1"/>
    <col min="2822" max="2822" width="9.109375" style="78" customWidth="1"/>
    <col min="2823" max="2824" width="13.88671875" style="78" customWidth="1"/>
    <col min="2825" max="2825" width="10.5546875" style="78" customWidth="1"/>
    <col min="2826" max="2826" width="15.109375" style="78" customWidth="1"/>
    <col min="2827" max="2827" width="20.44140625" style="78" customWidth="1"/>
    <col min="2828" max="3069" width="11.5546875" style="78"/>
    <col min="3070" max="3070" width="30.33203125" style="78" customWidth="1"/>
    <col min="3071" max="3071" width="10.44140625" style="78" customWidth="1"/>
    <col min="3072" max="3073" width="11.5546875" style="78"/>
    <col min="3074" max="3074" width="10.33203125" style="78" customWidth="1"/>
    <col min="3075" max="3075" width="9.5546875" style="78" customWidth="1"/>
    <col min="3076" max="3076" width="13.109375" style="78" customWidth="1"/>
    <col min="3077" max="3077" width="9.88671875" style="78" customWidth="1"/>
    <col min="3078" max="3078" width="9.109375" style="78" customWidth="1"/>
    <col min="3079" max="3080" width="13.88671875" style="78" customWidth="1"/>
    <col min="3081" max="3081" width="10.5546875" style="78" customWidth="1"/>
    <col min="3082" max="3082" width="15.109375" style="78" customWidth="1"/>
    <col min="3083" max="3083" width="20.44140625" style="78" customWidth="1"/>
    <col min="3084" max="3325" width="11.5546875" style="78"/>
    <col min="3326" max="3326" width="30.33203125" style="78" customWidth="1"/>
    <col min="3327" max="3327" width="10.44140625" style="78" customWidth="1"/>
    <col min="3328" max="3329" width="11.5546875" style="78"/>
    <col min="3330" max="3330" width="10.33203125" style="78" customWidth="1"/>
    <col min="3331" max="3331" width="9.5546875" style="78" customWidth="1"/>
    <col min="3332" max="3332" width="13.109375" style="78" customWidth="1"/>
    <col min="3333" max="3333" width="9.88671875" style="78" customWidth="1"/>
    <col min="3334" max="3334" width="9.109375" style="78" customWidth="1"/>
    <col min="3335" max="3336" width="13.88671875" style="78" customWidth="1"/>
    <col min="3337" max="3337" width="10.5546875" style="78" customWidth="1"/>
    <col min="3338" max="3338" width="15.109375" style="78" customWidth="1"/>
    <col min="3339" max="3339" width="20.44140625" style="78" customWidth="1"/>
    <col min="3340" max="3581" width="11.5546875" style="78"/>
    <col min="3582" max="3582" width="30.33203125" style="78" customWidth="1"/>
    <col min="3583" max="3583" width="10.44140625" style="78" customWidth="1"/>
    <col min="3584" max="3585" width="11.5546875" style="78"/>
    <col min="3586" max="3586" width="10.33203125" style="78" customWidth="1"/>
    <col min="3587" max="3587" width="9.5546875" style="78" customWidth="1"/>
    <col min="3588" max="3588" width="13.109375" style="78" customWidth="1"/>
    <col min="3589" max="3589" width="9.88671875" style="78" customWidth="1"/>
    <col min="3590" max="3590" width="9.109375" style="78" customWidth="1"/>
    <col min="3591" max="3592" width="13.88671875" style="78" customWidth="1"/>
    <col min="3593" max="3593" width="10.5546875" style="78" customWidth="1"/>
    <col min="3594" max="3594" width="15.109375" style="78" customWidth="1"/>
    <col min="3595" max="3595" width="20.44140625" style="78" customWidth="1"/>
    <col min="3596" max="3837" width="11.5546875" style="78"/>
    <col min="3838" max="3838" width="30.33203125" style="78" customWidth="1"/>
    <col min="3839" max="3839" width="10.44140625" style="78" customWidth="1"/>
    <col min="3840" max="3841" width="11.5546875" style="78"/>
    <col min="3842" max="3842" width="10.33203125" style="78" customWidth="1"/>
    <col min="3843" max="3843" width="9.5546875" style="78" customWidth="1"/>
    <col min="3844" max="3844" width="13.109375" style="78" customWidth="1"/>
    <col min="3845" max="3845" width="9.88671875" style="78" customWidth="1"/>
    <col min="3846" max="3846" width="9.109375" style="78" customWidth="1"/>
    <col min="3847" max="3848" width="13.88671875" style="78" customWidth="1"/>
    <col min="3849" max="3849" width="10.5546875" style="78" customWidth="1"/>
    <col min="3850" max="3850" width="15.109375" style="78" customWidth="1"/>
    <col min="3851" max="3851" width="20.44140625" style="78" customWidth="1"/>
    <col min="3852" max="4093" width="11.5546875" style="78"/>
    <col min="4094" max="4094" width="30.33203125" style="78" customWidth="1"/>
    <col min="4095" max="4095" width="10.44140625" style="78" customWidth="1"/>
    <col min="4096" max="4097" width="11.5546875" style="78"/>
    <col min="4098" max="4098" width="10.33203125" style="78" customWidth="1"/>
    <col min="4099" max="4099" width="9.5546875" style="78" customWidth="1"/>
    <col min="4100" max="4100" width="13.109375" style="78" customWidth="1"/>
    <col min="4101" max="4101" width="9.88671875" style="78" customWidth="1"/>
    <col min="4102" max="4102" width="9.109375" style="78" customWidth="1"/>
    <col min="4103" max="4104" width="13.88671875" style="78" customWidth="1"/>
    <col min="4105" max="4105" width="10.5546875" style="78" customWidth="1"/>
    <col min="4106" max="4106" width="15.109375" style="78" customWidth="1"/>
    <col min="4107" max="4107" width="20.44140625" style="78" customWidth="1"/>
    <col min="4108" max="4349" width="11.5546875" style="78"/>
    <col min="4350" max="4350" width="30.33203125" style="78" customWidth="1"/>
    <col min="4351" max="4351" width="10.44140625" style="78" customWidth="1"/>
    <col min="4352" max="4353" width="11.5546875" style="78"/>
    <col min="4354" max="4354" width="10.33203125" style="78" customWidth="1"/>
    <col min="4355" max="4355" width="9.5546875" style="78" customWidth="1"/>
    <col min="4356" max="4356" width="13.109375" style="78" customWidth="1"/>
    <col min="4357" max="4357" width="9.88671875" style="78" customWidth="1"/>
    <col min="4358" max="4358" width="9.109375" style="78" customWidth="1"/>
    <col min="4359" max="4360" width="13.88671875" style="78" customWidth="1"/>
    <col min="4361" max="4361" width="10.5546875" style="78" customWidth="1"/>
    <col min="4362" max="4362" width="15.109375" style="78" customWidth="1"/>
    <col min="4363" max="4363" width="20.44140625" style="78" customWidth="1"/>
    <col min="4364" max="4605" width="11.5546875" style="78"/>
    <col min="4606" max="4606" width="30.33203125" style="78" customWidth="1"/>
    <col min="4607" max="4607" width="10.44140625" style="78" customWidth="1"/>
    <col min="4608" max="4609" width="11.5546875" style="78"/>
    <col min="4610" max="4610" width="10.33203125" style="78" customWidth="1"/>
    <col min="4611" max="4611" width="9.5546875" style="78" customWidth="1"/>
    <col min="4612" max="4612" width="13.109375" style="78" customWidth="1"/>
    <col min="4613" max="4613" width="9.88671875" style="78" customWidth="1"/>
    <col min="4614" max="4614" width="9.109375" style="78" customWidth="1"/>
    <col min="4615" max="4616" width="13.88671875" style="78" customWidth="1"/>
    <col min="4617" max="4617" width="10.5546875" style="78" customWidth="1"/>
    <col min="4618" max="4618" width="15.109375" style="78" customWidth="1"/>
    <col min="4619" max="4619" width="20.44140625" style="78" customWidth="1"/>
    <col min="4620" max="4861" width="11.5546875" style="78"/>
    <col min="4862" max="4862" width="30.33203125" style="78" customWidth="1"/>
    <col min="4863" max="4863" width="10.44140625" style="78" customWidth="1"/>
    <col min="4864" max="4865" width="11.5546875" style="78"/>
    <col min="4866" max="4866" width="10.33203125" style="78" customWidth="1"/>
    <col min="4867" max="4867" width="9.5546875" style="78" customWidth="1"/>
    <col min="4868" max="4868" width="13.109375" style="78" customWidth="1"/>
    <col min="4869" max="4869" width="9.88671875" style="78" customWidth="1"/>
    <col min="4870" max="4870" width="9.109375" style="78" customWidth="1"/>
    <col min="4871" max="4872" width="13.88671875" style="78" customWidth="1"/>
    <col min="4873" max="4873" width="10.5546875" style="78" customWidth="1"/>
    <col min="4874" max="4874" width="15.109375" style="78" customWidth="1"/>
    <col min="4875" max="4875" width="20.44140625" style="78" customWidth="1"/>
    <col min="4876" max="5117" width="11.5546875" style="78"/>
    <col min="5118" max="5118" width="30.33203125" style="78" customWidth="1"/>
    <col min="5119" max="5119" width="10.44140625" style="78" customWidth="1"/>
    <col min="5120" max="5121" width="11.5546875" style="78"/>
    <col min="5122" max="5122" width="10.33203125" style="78" customWidth="1"/>
    <col min="5123" max="5123" width="9.5546875" style="78" customWidth="1"/>
    <col min="5124" max="5124" width="13.109375" style="78" customWidth="1"/>
    <col min="5125" max="5125" width="9.88671875" style="78" customWidth="1"/>
    <col min="5126" max="5126" width="9.109375" style="78" customWidth="1"/>
    <col min="5127" max="5128" width="13.88671875" style="78" customWidth="1"/>
    <col min="5129" max="5129" width="10.5546875" style="78" customWidth="1"/>
    <col min="5130" max="5130" width="15.109375" style="78" customWidth="1"/>
    <col min="5131" max="5131" width="20.44140625" style="78" customWidth="1"/>
    <col min="5132" max="5373" width="11.5546875" style="78"/>
    <col min="5374" max="5374" width="30.33203125" style="78" customWidth="1"/>
    <col min="5375" max="5375" width="10.44140625" style="78" customWidth="1"/>
    <col min="5376" max="5377" width="11.5546875" style="78"/>
    <col min="5378" max="5378" width="10.33203125" style="78" customWidth="1"/>
    <col min="5379" max="5379" width="9.5546875" style="78" customWidth="1"/>
    <col min="5380" max="5380" width="13.109375" style="78" customWidth="1"/>
    <col min="5381" max="5381" width="9.88671875" style="78" customWidth="1"/>
    <col min="5382" max="5382" width="9.109375" style="78" customWidth="1"/>
    <col min="5383" max="5384" width="13.88671875" style="78" customWidth="1"/>
    <col min="5385" max="5385" width="10.5546875" style="78" customWidth="1"/>
    <col min="5386" max="5386" width="15.109375" style="78" customWidth="1"/>
    <col min="5387" max="5387" width="20.44140625" style="78" customWidth="1"/>
    <col min="5388" max="5629" width="11.5546875" style="78"/>
    <col min="5630" max="5630" width="30.33203125" style="78" customWidth="1"/>
    <col min="5631" max="5631" width="10.44140625" style="78" customWidth="1"/>
    <col min="5632" max="5633" width="11.5546875" style="78"/>
    <col min="5634" max="5634" width="10.33203125" style="78" customWidth="1"/>
    <col min="5635" max="5635" width="9.5546875" style="78" customWidth="1"/>
    <col min="5636" max="5636" width="13.109375" style="78" customWidth="1"/>
    <col min="5637" max="5637" width="9.88671875" style="78" customWidth="1"/>
    <col min="5638" max="5638" width="9.109375" style="78" customWidth="1"/>
    <col min="5639" max="5640" width="13.88671875" style="78" customWidth="1"/>
    <col min="5641" max="5641" width="10.5546875" style="78" customWidth="1"/>
    <col min="5642" max="5642" width="15.109375" style="78" customWidth="1"/>
    <col min="5643" max="5643" width="20.44140625" style="78" customWidth="1"/>
    <col min="5644" max="5885" width="11.5546875" style="78"/>
    <col min="5886" max="5886" width="30.33203125" style="78" customWidth="1"/>
    <col min="5887" max="5887" width="10.44140625" style="78" customWidth="1"/>
    <col min="5888" max="5889" width="11.5546875" style="78"/>
    <col min="5890" max="5890" width="10.33203125" style="78" customWidth="1"/>
    <col min="5891" max="5891" width="9.5546875" style="78" customWidth="1"/>
    <col min="5892" max="5892" width="13.109375" style="78" customWidth="1"/>
    <col min="5893" max="5893" width="9.88671875" style="78" customWidth="1"/>
    <col min="5894" max="5894" width="9.109375" style="78" customWidth="1"/>
    <col min="5895" max="5896" width="13.88671875" style="78" customWidth="1"/>
    <col min="5897" max="5897" width="10.5546875" style="78" customWidth="1"/>
    <col min="5898" max="5898" width="15.109375" style="78" customWidth="1"/>
    <col min="5899" max="5899" width="20.44140625" style="78" customWidth="1"/>
    <col min="5900" max="6141" width="11.5546875" style="78"/>
    <col min="6142" max="6142" width="30.33203125" style="78" customWidth="1"/>
    <col min="6143" max="6143" width="10.44140625" style="78" customWidth="1"/>
    <col min="6144" max="6145" width="11.5546875" style="78"/>
    <col min="6146" max="6146" width="10.33203125" style="78" customWidth="1"/>
    <col min="6147" max="6147" width="9.5546875" style="78" customWidth="1"/>
    <col min="6148" max="6148" width="13.109375" style="78" customWidth="1"/>
    <col min="6149" max="6149" width="9.88671875" style="78" customWidth="1"/>
    <col min="6150" max="6150" width="9.109375" style="78" customWidth="1"/>
    <col min="6151" max="6152" width="13.88671875" style="78" customWidth="1"/>
    <col min="6153" max="6153" width="10.5546875" style="78" customWidth="1"/>
    <col min="6154" max="6154" width="15.109375" style="78" customWidth="1"/>
    <col min="6155" max="6155" width="20.44140625" style="78" customWidth="1"/>
    <col min="6156" max="6397" width="11.5546875" style="78"/>
    <col min="6398" max="6398" width="30.33203125" style="78" customWidth="1"/>
    <col min="6399" max="6399" width="10.44140625" style="78" customWidth="1"/>
    <col min="6400" max="6401" width="11.5546875" style="78"/>
    <col min="6402" max="6402" width="10.33203125" style="78" customWidth="1"/>
    <col min="6403" max="6403" width="9.5546875" style="78" customWidth="1"/>
    <col min="6404" max="6404" width="13.109375" style="78" customWidth="1"/>
    <col min="6405" max="6405" width="9.88671875" style="78" customWidth="1"/>
    <col min="6406" max="6406" width="9.109375" style="78" customWidth="1"/>
    <col min="6407" max="6408" width="13.88671875" style="78" customWidth="1"/>
    <col min="6409" max="6409" width="10.5546875" style="78" customWidth="1"/>
    <col min="6410" max="6410" width="15.109375" style="78" customWidth="1"/>
    <col min="6411" max="6411" width="20.44140625" style="78" customWidth="1"/>
    <col min="6412" max="6653" width="11.5546875" style="78"/>
    <col min="6654" max="6654" width="30.33203125" style="78" customWidth="1"/>
    <col min="6655" max="6655" width="10.44140625" style="78" customWidth="1"/>
    <col min="6656" max="6657" width="11.5546875" style="78"/>
    <col min="6658" max="6658" width="10.33203125" style="78" customWidth="1"/>
    <col min="6659" max="6659" width="9.5546875" style="78" customWidth="1"/>
    <col min="6660" max="6660" width="13.109375" style="78" customWidth="1"/>
    <col min="6661" max="6661" width="9.88671875" style="78" customWidth="1"/>
    <col min="6662" max="6662" width="9.109375" style="78" customWidth="1"/>
    <col min="6663" max="6664" width="13.88671875" style="78" customWidth="1"/>
    <col min="6665" max="6665" width="10.5546875" style="78" customWidth="1"/>
    <col min="6666" max="6666" width="15.109375" style="78" customWidth="1"/>
    <col min="6667" max="6667" width="20.44140625" style="78" customWidth="1"/>
    <col min="6668" max="6909" width="11.5546875" style="78"/>
    <col min="6910" max="6910" width="30.33203125" style="78" customWidth="1"/>
    <col min="6911" max="6911" width="10.44140625" style="78" customWidth="1"/>
    <col min="6912" max="6913" width="11.5546875" style="78"/>
    <col min="6914" max="6914" width="10.33203125" style="78" customWidth="1"/>
    <col min="6915" max="6915" width="9.5546875" style="78" customWidth="1"/>
    <col min="6916" max="6916" width="13.109375" style="78" customWidth="1"/>
    <col min="6917" max="6917" width="9.88671875" style="78" customWidth="1"/>
    <col min="6918" max="6918" width="9.109375" style="78" customWidth="1"/>
    <col min="6919" max="6920" width="13.88671875" style="78" customWidth="1"/>
    <col min="6921" max="6921" width="10.5546875" style="78" customWidth="1"/>
    <col min="6922" max="6922" width="15.109375" style="78" customWidth="1"/>
    <col min="6923" max="6923" width="20.44140625" style="78" customWidth="1"/>
    <col min="6924" max="7165" width="11.5546875" style="78"/>
    <col min="7166" max="7166" width="30.33203125" style="78" customWidth="1"/>
    <col min="7167" max="7167" width="10.44140625" style="78" customWidth="1"/>
    <col min="7168" max="7169" width="11.5546875" style="78"/>
    <col min="7170" max="7170" width="10.33203125" style="78" customWidth="1"/>
    <col min="7171" max="7171" width="9.5546875" style="78" customWidth="1"/>
    <col min="7172" max="7172" width="13.109375" style="78" customWidth="1"/>
    <col min="7173" max="7173" width="9.88671875" style="78" customWidth="1"/>
    <col min="7174" max="7174" width="9.109375" style="78" customWidth="1"/>
    <col min="7175" max="7176" width="13.88671875" style="78" customWidth="1"/>
    <col min="7177" max="7177" width="10.5546875" style="78" customWidth="1"/>
    <col min="7178" max="7178" width="15.109375" style="78" customWidth="1"/>
    <col min="7179" max="7179" width="20.44140625" style="78" customWidth="1"/>
    <col min="7180" max="7421" width="11.5546875" style="78"/>
    <col min="7422" max="7422" width="30.33203125" style="78" customWidth="1"/>
    <col min="7423" max="7423" width="10.44140625" style="78" customWidth="1"/>
    <col min="7424" max="7425" width="11.5546875" style="78"/>
    <col min="7426" max="7426" width="10.33203125" style="78" customWidth="1"/>
    <col min="7427" max="7427" width="9.5546875" style="78" customWidth="1"/>
    <col min="7428" max="7428" width="13.109375" style="78" customWidth="1"/>
    <col min="7429" max="7429" width="9.88671875" style="78" customWidth="1"/>
    <col min="7430" max="7430" width="9.109375" style="78" customWidth="1"/>
    <col min="7431" max="7432" width="13.88671875" style="78" customWidth="1"/>
    <col min="7433" max="7433" width="10.5546875" style="78" customWidth="1"/>
    <col min="7434" max="7434" width="15.109375" style="78" customWidth="1"/>
    <col min="7435" max="7435" width="20.44140625" style="78" customWidth="1"/>
    <col min="7436" max="7677" width="11.5546875" style="78"/>
    <col min="7678" max="7678" width="30.33203125" style="78" customWidth="1"/>
    <col min="7679" max="7679" width="10.44140625" style="78" customWidth="1"/>
    <col min="7680" max="7681" width="11.5546875" style="78"/>
    <col min="7682" max="7682" width="10.33203125" style="78" customWidth="1"/>
    <col min="7683" max="7683" width="9.5546875" style="78" customWidth="1"/>
    <col min="7684" max="7684" width="13.109375" style="78" customWidth="1"/>
    <col min="7685" max="7685" width="9.88671875" style="78" customWidth="1"/>
    <col min="7686" max="7686" width="9.109375" style="78" customWidth="1"/>
    <col min="7687" max="7688" width="13.88671875" style="78" customWidth="1"/>
    <col min="7689" max="7689" width="10.5546875" style="78" customWidth="1"/>
    <col min="7690" max="7690" width="15.109375" style="78" customWidth="1"/>
    <col min="7691" max="7691" width="20.44140625" style="78" customWidth="1"/>
    <col min="7692" max="7933" width="11.5546875" style="78"/>
    <col min="7934" max="7934" width="30.33203125" style="78" customWidth="1"/>
    <col min="7935" max="7935" width="10.44140625" style="78" customWidth="1"/>
    <col min="7936" max="7937" width="11.5546875" style="78"/>
    <col min="7938" max="7938" width="10.33203125" style="78" customWidth="1"/>
    <col min="7939" max="7939" width="9.5546875" style="78" customWidth="1"/>
    <col min="7940" max="7940" width="13.109375" style="78" customWidth="1"/>
    <col min="7941" max="7941" width="9.88671875" style="78" customWidth="1"/>
    <col min="7942" max="7942" width="9.109375" style="78" customWidth="1"/>
    <col min="7943" max="7944" width="13.88671875" style="78" customWidth="1"/>
    <col min="7945" max="7945" width="10.5546875" style="78" customWidth="1"/>
    <col min="7946" max="7946" width="15.109375" style="78" customWidth="1"/>
    <col min="7947" max="7947" width="20.44140625" style="78" customWidth="1"/>
    <col min="7948" max="8189" width="11.5546875" style="78"/>
    <col min="8190" max="8190" width="30.33203125" style="78" customWidth="1"/>
    <col min="8191" max="8191" width="10.44140625" style="78" customWidth="1"/>
    <col min="8192" max="8193" width="11.5546875" style="78"/>
    <col min="8194" max="8194" width="10.33203125" style="78" customWidth="1"/>
    <col min="8195" max="8195" width="9.5546875" style="78" customWidth="1"/>
    <col min="8196" max="8196" width="13.109375" style="78" customWidth="1"/>
    <col min="8197" max="8197" width="9.88671875" style="78" customWidth="1"/>
    <col min="8198" max="8198" width="9.109375" style="78" customWidth="1"/>
    <col min="8199" max="8200" width="13.88671875" style="78" customWidth="1"/>
    <col min="8201" max="8201" width="10.5546875" style="78" customWidth="1"/>
    <col min="8202" max="8202" width="15.109375" style="78" customWidth="1"/>
    <col min="8203" max="8203" width="20.44140625" style="78" customWidth="1"/>
    <col min="8204" max="8445" width="11.5546875" style="78"/>
    <col min="8446" max="8446" width="30.33203125" style="78" customWidth="1"/>
    <col min="8447" max="8447" width="10.44140625" style="78" customWidth="1"/>
    <col min="8448" max="8449" width="11.5546875" style="78"/>
    <col min="8450" max="8450" width="10.33203125" style="78" customWidth="1"/>
    <col min="8451" max="8451" width="9.5546875" style="78" customWidth="1"/>
    <col min="8452" max="8452" width="13.109375" style="78" customWidth="1"/>
    <col min="8453" max="8453" width="9.88671875" style="78" customWidth="1"/>
    <col min="8454" max="8454" width="9.109375" style="78" customWidth="1"/>
    <col min="8455" max="8456" width="13.88671875" style="78" customWidth="1"/>
    <col min="8457" max="8457" width="10.5546875" style="78" customWidth="1"/>
    <col min="8458" max="8458" width="15.109375" style="78" customWidth="1"/>
    <col min="8459" max="8459" width="20.44140625" style="78" customWidth="1"/>
    <col min="8460" max="8701" width="11.5546875" style="78"/>
    <col min="8702" max="8702" width="30.33203125" style="78" customWidth="1"/>
    <col min="8703" max="8703" width="10.44140625" style="78" customWidth="1"/>
    <col min="8704" max="8705" width="11.5546875" style="78"/>
    <col min="8706" max="8706" width="10.33203125" style="78" customWidth="1"/>
    <col min="8707" max="8707" width="9.5546875" style="78" customWidth="1"/>
    <col min="8708" max="8708" width="13.109375" style="78" customWidth="1"/>
    <col min="8709" max="8709" width="9.88671875" style="78" customWidth="1"/>
    <col min="8710" max="8710" width="9.109375" style="78" customWidth="1"/>
    <col min="8711" max="8712" width="13.88671875" style="78" customWidth="1"/>
    <col min="8713" max="8713" width="10.5546875" style="78" customWidth="1"/>
    <col min="8714" max="8714" width="15.109375" style="78" customWidth="1"/>
    <col min="8715" max="8715" width="20.44140625" style="78" customWidth="1"/>
    <col min="8716" max="8957" width="11.5546875" style="78"/>
    <col min="8958" max="8958" width="30.33203125" style="78" customWidth="1"/>
    <col min="8959" max="8959" width="10.44140625" style="78" customWidth="1"/>
    <col min="8960" max="8961" width="11.5546875" style="78"/>
    <col min="8962" max="8962" width="10.33203125" style="78" customWidth="1"/>
    <col min="8963" max="8963" width="9.5546875" style="78" customWidth="1"/>
    <col min="8964" max="8964" width="13.109375" style="78" customWidth="1"/>
    <col min="8965" max="8965" width="9.88671875" style="78" customWidth="1"/>
    <col min="8966" max="8966" width="9.109375" style="78" customWidth="1"/>
    <col min="8967" max="8968" width="13.88671875" style="78" customWidth="1"/>
    <col min="8969" max="8969" width="10.5546875" style="78" customWidth="1"/>
    <col min="8970" max="8970" width="15.109375" style="78" customWidth="1"/>
    <col min="8971" max="8971" width="20.44140625" style="78" customWidth="1"/>
    <col min="8972" max="9213" width="11.5546875" style="78"/>
    <col min="9214" max="9214" width="30.33203125" style="78" customWidth="1"/>
    <col min="9215" max="9215" width="10.44140625" style="78" customWidth="1"/>
    <col min="9216" max="9217" width="11.5546875" style="78"/>
    <col min="9218" max="9218" width="10.33203125" style="78" customWidth="1"/>
    <col min="9219" max="9219" width="9.5546875" style="78" customWidth="1"/>
    <col min="9220" max="9220" width="13.109375" style="78" customWidth="1"/>
    <col min="9221" max="9221" width="9.88671875" style="78" customWidth="1"/>
    <col min="9222" max="9222" width="9.109375" style="78" customWidth="1"/>
    <col min="9223" max="9224" width="13.88671875" style="78" customWidth="1"/>
    <col min="9225" max="9225" width="10.5546875" style="78" customWidth="1"/>
    <col min="9226" max="9226" width="15.109375" style="78" customWidth="1"/>
    <col min="9227" max="9227" width="20.44140625" style="78" customWidth="1"/>
    <col min="9228" max="9469" width="11.5546875" style="78"/>
    <col min="9470" max="9470" width="30.33203125" style="78" customWidth="1"/>
    <col min="9471" max="9471" width="10.44140625" style="78" customWidth="1"/>
    <col min="9472" max="9473" width="11.5546875" style="78"/>
    <col min="9474" max="9474" width="10.33203125" style="78" customWidth="1"/>
    <col min="9475" max="9475" width="9.5546875" style="78" customWidth="1"/>
    <col min="9476" max="9476" width="13.109375" style="78" customWidth="1"/>
    <col min="9477" max="9477" width="9.88671875" style="78" customWidth="1"/>
    <col min="9478" max="9478" width="9.109375" style="78" customWidth="1"/>
    <col min="9479" max="9480" width="13.88671875" style="78" customWidth="1"/>
    <col min="9481" max="9481" width="10.5546875" style="78" customWidth="1"/>
    <col min="9482" max="9482" width="15.109375" style="78" customWidth="1"/>
    <col min="9483" max="9483" width="20.44140625" style="78" customWidth="1"/>
    <col min="9484" max="9725" width="11.5546875" style="78"/>
    <col min="9726" max="9726" width="30.33203125" style="78" customWidth="1"/>
    <col min="9727" max="9727" width="10.44140625" style="78" customWidth="1"/>
    <col min="9728" max="9729" width="11.5546875" style="78"/>
    <col min="9730" max="9730" width="10.33203125" style="78" customWidth="1"/>
    <col min="9731" max="9731" width="9.5546875" style="78" customWidth="1"/>
    <col min="9732" max="9732" width="13.109375" style="78" customWidth="1"/>
    <col min="9733" max="9733" width="9.88671875" style="78" customWidth="1"/>
    <col min="9734" max="9734" width="9.109375" style="78" customWidth="1"/>
    <col min="9735" max="9736" width="13.88671875" style="78" customWidth="1"/>
    <col min="9737" max="9737" width="10.5546875" style="78" customWidth="1"/>
    <col min="9738" max="9738" width="15.109375" style="78" customWidth="1"/>
    <col min="9739" max="9739" width="20.44140625" style="78" customWidth="1"/>
    <col min="9740" max="9981" width="11.5546875" style="78"/>
    <col min="9982" max="9982" width="30.33203125" style="78" customWidth="1"/>
    <col min="9983" max="9983" width="10.44140625" style="78" customWidth="1"/>
    <col min="9984" max="9985" width="11.5546875" style="78"/>
    <col min="9986" max="9986" width="10.33203125" style="78" customWidth="1"/>
    <col min="9987" max="9987" width="9.5546875" style="78" customWidth="1"/>
    <col min="9988" max="9988" width="13.109375" style="78" customWidth="1"/>
    <col min="9989" max="9989" width="9.88671875" style="78" customWidth="1"/>
    <col min="9990" max="9990" width="9.109375" style="78" customWidth="1"/>
    <col min="9991" max="9992" width="13.88671875" style="78" customWidth="1"/>
    <col min="9993" max="9993" width="10.5546875" style="78" customWidth="1"/>
    <col min="9994" max="9994" width="15.109375" style="78" customWidth="1"/>
    <col min="9995" max="9995" width="20.44140625" style="78" customWidth="1"/>
    <col min="9996" max="10237" width="11.5546875" style="78"/>
    <col min="10238" max="10238" width="30.33203125" style="78" customWidth="1"/>
    <col min="10239" max="10239" width="10.44140625" style="78" customWidth="1"/>
    <col min="10240" max="10241" width="11.5546875" style="78"/>
    <col min="10242" max="10242" width="10.33203125" style="78" customWidth="1"/>
    <col min="10243" max="10243" width="9.5546875" style="78" customWidth="1"/>
    <col min="10244" max="10244" width="13.109375" style="78" customWidth="1"/>
    <col min="10245" max="10245" width="9.88671875" style="78" customWidth="1"/>
    <col min="10246" max="10246" width="9.109375" style="78" customWidth="1"/>
    <col min="10247" max="10248" width="13.88671875" style="78" customWidth="1"/>
    <col min="10249" max="10249" width="10.5546875" style="78" customWidth="1"/>
    <col min="10250" max="10250" width="15.109375" style="78" customWidth="1"/>
    <col min="10251" max="10251" width="20.44140625" style="78" customWidth="1"/>
    <col min="10252" max="10493" width="11.5546875" style="78"/>
    <col min="10494" max="10494" width="30.33203125" style="78" customWidth="1"/>
    <col min="10495" max="10495" width="10.44140625" style="78" customWidth="1"/>
    <col min="10496" max="10497" width="11.5546875" style="78"/>
    <col min="10498" max="10498" width="10.33203125" style="78" customWidth="1"/>
    <col min="10499" max="10499" width="9.5546875" style="78" customWidth="1"/>
    <col min="10500" max="10500" width="13.109375" style="78" customWidth="1"/>
    <col min="10501" max="10501" width="9.88671875" style="78" customWidth="1"/>
    <col min="10502" max="10502" width="9.109375" style="78" customWidth="1"/>
    <col min="10503" max="10504" width="13.88671875" style="78" customWidth="1"/>
    <col min="10505" max="10505" width="10.5546875" style="78" customWidth="1"/>
    <col min="10506" max="10506" width="15.109375" style="78" customWidth="1"/>
    <col min="10507" max="10507" width="20.44140625" style="78" customWidth="1"/>
    <col min="10508" max="10749" width="11.5546875" style="78"/>
    <col min="10750" max="10750" width="30.33203125" style="78" customWidth="1"/>
    <col min="10751" max="10751" width="10.44140625" style="78" customWidth="1"/>
    <col min="10752" max="10753" width="11.5546875" style="78"/>
    <col min="10754" max="10754" width="10.33203125" style="78" customWidth="1"/>
    <col min="10755" max="10755" width="9.5546875" style="78" customWidth="1"/>
    <col min="10756" max="10756" width="13.109375" style="78" customWidth="1"/>
    <col min="10757" max="10757" width="9.88671875" style="78" customWidth="1"/>
    <col min="10758" max="10758" width="9.109375" style="78" customWidth="1"/>
    <col min="10759" max="10760" width="13.88671875" style="78" customWidth="1"/>
    <col min="10761" max="10761" width="10.5546875" style="78" customWidth="1"/>
    <col min="10762" max="10762" width="15.109375" style="78" customWidth="1"/>
    <col min="10763" max="10763" width="20.44140625" style="78" customWidth="1"/>
    <col min="10764" max="11005" width="11.5546875" style="78"/>
    <col min="11006" max="11006" width="30.33203125" style="78" customWidth="1"/>
    <col min="11007" max="11007" width="10.44140625" style="78" customWidth="1"/>
    <col min="11008" max="11009" width="11.5546875" style="78"/>
    <col min="11010" max="11010" width="10.33203125" style="78" customWidth="1"/>
    <col min="11011" max="11011" width="9.5546875" style="78" customWidth="1"/>
    <col min="11012" max="11012" width="13.109375" style="78" customWidth="1"/>
    <col min="11013" max="11013" width="9.88671875" style="78" customWidth="1"/>
    <col min="11014" max="11014" width="9.109375" style="78" customWidth="1"/>
    <col min="11015" max="11016" width="13.88671875" style="78" customWidth="1"/>
    <col min="11017" max="11017" width="10.5546875" style="78" customWidth="1"/>
    <col min="11018" max="11018" width="15.109375" style="78" customWidth="1"/>
    <col min="11019" max="11019" width="20.44140625" style="78" customWidth="1"/>
    <col min="11020" max="11261" width="11.5546875" style="78"/>
    <col min="11262" max="11262" width="30.33203125" style="78" customWidth="1"/>
    <col min="11263" max="11263" width="10.44140625" style="78" customWidth="1"/>
    <col min="11264" max="11265" width="11.5546875" style="78"/>
    <col min="11266" max="11266" width="10.33203125" style="78" customWidth="1"/>
    <col min="11267" max="11267" width="9.5546875" style="78" customWidth="1"/>
    <col min="11268" max="11268" width="13.109375" style="78" customWidth="1"/>
    <col min="11269" max="11269" width="9.88671875" style="78" customWidth="1"/>
    <col min="11270" max="11270" width="9.109375" style="78" customWidth="1"/>
    <col min="11271" max="11272" width="13.88671875" style="78" customWidth="1"/>
    <col min="11273" max="11273" width="10.5546875" style="78" customWidth="1"/>
    <col min="11274" max="11274" width="15.109375" style="78" customWidth="1"/>
    <col min="11275" max="11275" width="20.44140625" style="78" customWidth="1"/>
    <col min="11276" max="11517" width="11.5546875" style="78"/>
    <col min="11518" max="11518" width="30.33203125" style="78" customWidth="1"/>
    <col min="11519" max="11519" width="10.44140625" style="78" customWidth="1"/>
    <col min="11520" max="11521" width="11.5546875" style="78"/>
    <col min="11522" max="11522" width="10.33203125" style="78" customWidth="1"/>
    <col min="11523" max="11523" width="9.5546875" style="78" customWidth="1"/>
    <col min="11524" max="11524" width="13.109375" style="78" customWidth="1"/>
    <col min="11525" max="11525" width="9.88671875" style="78" customWidth="1"/>
    <col min="11526" max="11526" width="9.109375" style="78" customWidth="1"/>
    <col min="11527" max="11528" width="13.88671875" style="78" customWidth="1"/>
    <col min="11529" max="11529" width="10.5546875" style="78" customWidth="1"/>
    <col min="11530" max="11530" width="15.109375" style="78" customWidth="1"/>
    <col min="11531" max="11531" width="20.44140625" style="78" customWidth="1"/>
    <col min="11532" max="11773" width="11.5546875" style="78"/>
    <col min="11774" max="11774" width="30.33203125" style="78" customWidth="1"/>
    <col min="11775" max="11775" width="10.44140625" style="78" customWidth="1"/>
    <col min="11776" max="11777" width="11.5546875" style="78"/>
    <col min="11778" max="11778" width="10.33203125" style="78" customWidth="1"/>
    <col min="11779" max="11779" width="9.5546875" style="78" customWidth="1"/>
    <col min="11780" max="11780" width="13.109375" style="78" customWidth="1"/>
    <col min="11781" max="11781" width="9.88671875" style="78" customWidth="1"/>
    <col min="11782" max="11782" width="9.109375" style="78" customWidth="1"/>
    <col min="11783" max="11784" width="13.88671875" style="78" customWidth="1"/>
    <col min="11785" max="11785" width="10.5546875" style="78" customWidth="1"/>
    <col min="11786" max="11786" width="15.109375" style="78" customWidth="1"/>
    <col min="11787" max="11787" width="20.44140625" style="78" customWidth="1"/>
    <col min="11788" max="12029" width="11.5546875" style="78"/>
    <col min="12030" max="12030" width="30.33203125" style="78" customWidth="1"/>
    <col min="12031" max="12031" width="10.44140625" style="78" customWidth="1"/>
    <col min="12032" max="12033" width="11.5546875" style="78"/>
    <col min="12034" max="12034" width="10.33203125" style="78" customWidth="1"/>
    <col min="12035" max="12035" width="9.5546875" style="78" customWidth="1"/>
    <col min="12036" max="12036" width="13.109375" style="78" customWidth="1"/>
    <col min="12037" max="12037" width="9.88671875" style="78" customWidth="1"/>
    <col min="12038" max="12038" width="9.109375" style="78" customWidth="1"/>
    <col min="12039" max="12040" width="13.88671875" style="78" customWidth="1"/>
    <col min="12041" max="12041" width="10.5546875" style="78" customWidth="1"/>
    <col min="12042" max="12042" width="15.109375" style="78" customWidth="1"/>
    <col min="12043" max="12043" width="20.44140625" style="78" customWidth="1"/>
    <col min="12044" max="12285" width="11.5546875" style="78"/>
    <col min="12286" max="12286" width="30.33203125" style="78" customWidth="1"/>
    <col min="12287" max="12287" width="10.44140625" style="78" customWidth="1"/>
    <col min="12288" max="12289" width="11.5546875" style="78"/>
    <col min="12290" max="12290" width="10.33203125" style="78" customWidth="1"/>
    <col min="12291" max="12291" width="9.5546875" style="78" customWidth="1"/>
    <col min="12292" max="12292" width="13.109375" style="78" customWidth="1"/>
    <col min="12293" max="12293" width="9.88671875" style="78" customWidth="1"/>
    <col min="12294" max="12294" width="9.109375" style="78" customWidth="1"/>
    <col min="12295" max="12296" width="13.88671875" style="78" customWidth="1"/>
    <col min="12297" max="12297" width="10.5546875" style="78" customWidth="1"/>
    <col min="12298" max="12298" width="15.109375" style="78" customWidth="1"/>
    <col min="12299" max="12299" width="20.44140625" style="78" customWidth="1"/>
    <col min="12300" max="12541" width="11.5546875" style="78"/>
    <col min="12542" max="12542" width="30.33203125" style="78" customWidth="1"/>
    <col min="12543" max="12543" width="10.44140625" style="78" customWidth="1"/>
    <col min="12544" max="12545" width="11.5546875" style="78"/>
    <col min="12546" max="12546" width="10.33203125" style="78" customWidth="1"/>
    <col min="12547" max="12547" width="9.5546875" style="78" customWidth="1"/>
    <col min="12548" max="12548" width="13.109375" style="78" customWidth="1"/>
    <col min="12549" max="12549" width="9.88671875" style="78" customWidth="1"/>
    <col min="12550" max="12550" width="9.109375" style="78" customWidth="1"/>
    <col min="12551" max="12552" width="13.88671875" style="78" customWidth="1"/>
    <col min="12553" max="12553" width="10.5546875" style="78" customWidth="1"/>
    <col min="12554" max="12554" width="15.109375" style="78" customWidth="1"/>
    <col min="12555" max="12555" width="20.44140625" style="78" customWidth="1"/>
    <col min="12556" max="12797" width="11.5546875" style="78"/>
    <col min="12798" max="12798" width="30.33203125" style="78" customWidth="1"/>
    <col min="12799" max="12799" width="10.44140625" style="78" customWidth="1"/>
    <col min="12800" max="12801" width="11.5546875" style="78"/>
    <col min="12802" max="12802" width="10.33203125" style="78" customWidth="1"/>
    <col min="12803" max="12803" width="9.5546875" style="78" customWidth="1"/>
    <col min="12804" max="12804" width="13.109375" style="78" customWidth="1"/>
    <col min="12805" max="12805" width="9.88671875" style="78" customWidth="1"/>
    <col min="12806" max="12806" width="9.109375" style="78" customWidth="1"/>
    <col min="12807" max="12808" width="13.88671875" style="78" customWidth="1"/>
    <col min="12809" max="12809" width="10.5546875" style="78" customWidth="1"/>
    <col min="12810" max="12810" width="15.109375" style="78" customWidth="1"/>
    <col min="12811" max="12811" width="20.44140625" style="78" customWidth="1"/>
    <col min="12812" max="13053" width="11.5546875" style="78"/>
    <col min="13054" max="13054" width="30.33203125" style="78" customWidth="1"/>
    <col min="13055" max="13055" width="10.44140625" style="78" customWidth="1"/>
    <col min="13056" max="13057" width="11.5546875" style="78"/>
    <col min="13058" max="13058" width="10.33203125" style="78" customWidth="1"/>
    <col min="13059" max="13059" width="9.5546875" style="78" customWidth="1"/>
    <col min="13060" max="13060" width="13.109375" style="78" customWidth="1"/>
    <col min="13061" max="13061" width="9.88671875" style="78" customWidth="1"/>
    <col min="13062" max="13062" width="9.109375" style="78" customWidth="1"/>
    <col min="13063" max="13064" width="13.88671875" style="78" customWidth="1"/>
    <col min="13065" max="13065" width="10.5546875" style="78" customWidth="1"/>
    <col min="13066" max="13066" width="15.109375" style="78" customWidth="1"/>
    <col min="13067" max="13067" width="20.44140625" style="78" customWidth="1"/>
    <col min="13068" max="13309" width="11.5546875" style="78"/>
    <col min="13310" max="13310" width="30.33203125" style="78" customWidth="1"/>
    <col min="13311" max="13311" width="10.44140625" style="78" customWidth="1"/>
    <col min="13312" max="13313" width="11.5546875" style="78"/>
    <col min="13314" max="13314" width="10.33203125" style="78" customWidth="1"/>
    <col min="13315" max="13315" width="9.5546875" style="78" customWidth="1"/>
    <col min="13316" max="13316" width="13.109375" style="78" customWidth="1"/>
    <col min="13317" max="13317" width="9.88671875" style="78" customWidth="1"/>
    <col min="13318" max="13318" width="9.109375" style="78" customWidth="1"/>
    <col min="13319" max="13320" width="13.88671875" style="78" customWidth="1"/>
    <col min="13321" max="13321" width="10.5546875" style="78" customWidth="1"/>
    <col min="13322" max="13322" width="15.109375" style="78" customWidth="1"/>
    <col min="13323" max="13323" width="20.44140625" style="78" customWidth="1"/>
    <col min="13324" max="13565" width="11.5546875" style="78"/>
    <col min="13566" max="13566" width="30.33203125" style="78" customWidth="1"/>
    <col min="13567" max="13567" width="10.44140625" style="78" customWidth="1"/>
    <col min="13568" max="13569" width="11.5546875" style="78"/>
    <col min="13570" max="13570" width="10.33203125" style="78" customWidth="1"/>
    <col min="13571" max="13571" width="9.5546875" style="78" customWidth="1"/>
    <col min="13572" max="13572" width="13.109375" style="78" customWidth="1"/>
    <col min="13573" max="13573" width="9.88671875" style="78" customWidth="1"/>
    <col min="13574" max="13574" width="9.109375" style="78" customWidth="1"/>
    <col min="13575" max="13576" width="13.88671875" style="78" customWidth="1"/>
    <col min="13577" max="13577" width="10.5546875" style="78" customWidth="1"/>
    <col min="13578" max="13578" width="15.109375" style="78" customWidth="1"/>
    <col min="13579" max="13579" width="20.44140625" style="78" customWidth="1"/>
    <col min="13580" max="13821" width="11.5546875" style="78"/>
    <col min="13822" max="13822" width="30.33203125" style="78" customWidth="1"/>
    <col min="13823" max="13823" width="10.44140625" style="78" customWidth="1"/>
    <col min="13824" max="13825" width="11.5546875" style="78"/>
    <col min="13826" max="13826" width="10.33203125" style="78" customWidth="1"/>
    <col min="13827" max="13827" width="9.5546875" style="78" customWidth="1"/>
    <col min="13828" max="13828" width="13.109375" style="78" customWidth="1"/>
    <col min="13829" max="13829" width="9.88671875" style="78" customWidth="1"/>
    <col min="13830" max="13830" width="9.109375" style="78" customWidth="1"/>
    <col min="13831" max="13832" width="13.88671875" style="78" customWidth="1"/>
    <col min="13833" max="13833" width="10.5546875" style="78" customWidth="1"/>
    <col min="13834" max="13834" width="15.109375" style="78" customWidth="1"/>
    <col min="13835" max="13835" width="20.44140625" style="78" customWidth="1"/>
    <col min="13836" max="14077" width="11.5546875" style="78"/>
    <col min="14078" max="14078" width="30.33203125" style="78" customWidth="1"/>
    <col min="14079" max="14079" width="10.44140625" style="78" customWidth="1"/>
    <col min="14080" max="14081" width="11.5546875" style="78"/>
    <col min="14082" max="14082" width="10.33203125" style="78" customWidth="1"/>
    <col min="14083" max="14083" width="9.5546875" style="78" customWidth="1"/>
    <col min="14084" max="14084" width="13.109375" style="78" customWidth="1"/>
    <col min="14085" max="14085" width="9.88671875" style="78" customWidth="1"/>
    <col min="14086" max="14086" width="9.109375" style="78" customWidth="1"/>
    <col min="14087" max="14088" width="13.88671875" style="78" customWidth="1"/>
    <col min="14089" max="14089" width="10.5546875" style="78" customWidth="1"/>
    <col min="14090" max="14090" width="15.109375" style="78" customWidth="1"/>
    <col min="14091" max="14091" width="20.44140625" style="78" customWidth="1"/>
    <col min="14092" max="14333" width="11.5546875" style="78"/>
    <col min="14334" max="14334" width="30.33203125" style="78" customWidth="1"/>
    <col min="14335" max="14335" width="10.44140625" style="78" customWidth="1"/>
    <col min="14336" max="14337" width="11.5546875" style="78"/>
    <col min="14338" max="14338" width="10.33203125" style="78" customWidth="1"/>
    <col min="14339" max="14339" width="9.5546875" style="78" customWidth="1"/>
    <col min="14340" max="14340" width="13.109375" style="78" customWidth="1"/>
    <col min="14341" max="14341" width="9.88671875" style="78" customWidth="1"/>
    <col min="14342" max="14342" width="9.109375" style="78" customWidth="1"/>
    <col min="14343" max="14344" width="13.88671875" style="78" customWidth="1"/>
    <col min="14345" max="14345" width="10.5546875" style="78" customWidth="1"/>
    <col min="14346" max="14346" width="15.109375" style="78" customWidth="1"/>
    <col min="14347" max="14347" width="20.44140625" style="78" customWidth="1"/>
    <col min="14348" max="14589" width="11.5546875" style="78"/>
    <col min="14590" max="14590" width="30.33203125" style="78" customWidth="1"/>
    <col min="14591" max="14591" width="10.44140625" style="78" customWidth="1"/>
    <col min="14592" max="14593" width="11.5546875" style="78"/>
    <col min="14594" max="14594" width="10.33203125" style="78" customWidth="1"/>
    <col min="14595" max="14595" width="9.5546875" style="78" customWidth="1"/>
    <col min="14596" max="14596" width="13.109375" style="78" customWidth="1"/>
    <col min="14597" max="14597" width="9.88671875" style="78" customWidth="1"/>
    <col min="14598" max="14598" width="9.109375" style="78" customWidth="1"/>
    <col min="14599" max="14600" width="13.88671875" style="78" customWidth="1"/>
    <col min="14601" max="14601" width="10.5546875" style="78" customWidth="1"/>
    <col min="14602" max="14602" width="15.109375" style="78" customWidth="1"/>
    <col min="14603" max="14603" width="20.44140625" style="78" customWidth="1"/>
    <col min="14604" max="14845" width="11.5546875" style="78"/>
    <col min="14846" max="14846" width="30.33203125" style="78" customWidth="1"/>
    <col min="14847" max="14847" width="10.44140625" style="78" customWidth="1"/>
    <col min="14848" max="14849" width="11.5546875" style="78"/>
    <col min="14850" max="14850" width="10.33203125" style="78" customWidth="1"/>
    <col min="14851" max="14851" width="9.5546875" style="78" customWidth="1"/>
    <col min="14852" max="14852" width="13.109375" style="78" customWidth="1"/>
    <col min="14853" max="14853" width="9.88671875" style="78" customWidth="1"/>
    <col min="14854" max="14854" width="9.109375" style="78" customWidth="1"/>
    <col min="14855" max="14856" width="13.88671875" style="78" customWidth="1"/>
    <col min="14857" max="14857" width="10.5546875" style="78" customWidth="1"/>
    <col min="14858" max="14858" width="15.109375" style="78" customWidth="1"/>
    <col min="14859" max="14859" width="20.44140625" style="78" customWidth="1"/>
    <col min="14860" max="15101" width="11.5546875" style="78"/>
    <col min="15102" max="15102" width="30.33203125" style="78" customWidth="1"/>
    <col min="15103" max="15103" width="10.44140625" style="78" customWidth="1"/>
    <col min="15104" max="15105" width="11.5546875" style="78"/>
    <col min="15106" max="15106" width="10.33203125" style="78" customWidth="1"/>
    <col min="15107" max="15107" width="9.5546875" style="78" customWidth="1"/>
    <col min="15108" max="15108" width="13.109375" style="78" customWidth="1"/>
    <col min="15109" max="15109" width="9.88671875" style="78" customWidth="1"/>
    <col min="15110" max="15110" width="9.109375" style="78" customWidth="1"/>
    <col min="15111" max="15112" width="13.88671875" style="78" customWidth="1"/>
    <col min="15113" max="15113" width="10.5546875" style="78" customWidth="1"/>
    <col min="15114" max="15114" width="15.109375" style="78" customWidth="1"/>
    <col min="15115" max="15115" width="20.44140625" style="78" customWidth="1"/>
    <col min="15116" max="15357" width="11.5546875" style="78"/>
    <col min="15358" max="15358" width="30.33203125" style="78" customWidth="1"/>
    <col min="15359" max="15359" width="10.44140625" style="78" customWidth="1"/>
    <col min="15360" max="15361" width="11.5546875" style="78"/>
    <col min="15362" max="15362" width="10.33203125" style="78" customWidth="1"/>
    <col min="15363" max="15363" width="9.5546875" style="78" customWidth="1"/>
    <col min="15364" max="15364" width="13.109375" style="78" customWidth="1"/>
    <col min="15365" max="15365" width="9.88671875" style="78" customWidth="1"/>
    <col min="15366" max="15366" width="9.109375" style="78" customWidth="1"/>
    <col min="15367" max="15368" width="13.88671875" style="78" customWidth="1"/>
    <col min="15369" max="15369" width="10.5546875" style="78" customWidth="1"/>
    <col min="15370" max="15370" width="15.109375" style="78" customWidth="1"/>
    <col min="15371" max="15371" width="20.44140625" style="78" customWidth="1"/>
    <col min="15372" max="15613" width="11.5546875" style="78"/>
    <col min="15614" max="15614" width="30.33203125" style="78" customWidth="1"/>
    <col min="15615" max="15615" width="10.44140625" style="78" customWidth="1"/>
    <col min="15616" max="15617" width="11.5546875" style="78"/>
    <col min="15618" max="15618" width="10.33203125" style="78" customWidth="1"/>
    <col min="15619" max="15619" width="9.5546875" style="78" customWidth="1"/>
    <col min="15620" max="15620" width="13.109375" style="78" customWidth="1"/>
    <col min="15621" max="15621" width="9.88671875" style="78" customWidth="1"/>
    <col min="15622" max="15622" width="9.109375" style="78" customWidth="1"/>
    <col min="15623" max="15624" width="13.88671875" style="78" customWidth="1"/>
    <col min="15625" max="15625" width="10.5546875" style="78" customWidth="1"/>
    <col min="15626" max="15626" width="15.109375" style="78" customWidth="1"/>
    <col min="15627" max="15627" width="20.44140625" style="78" customWidth="1"/>
    <col min="15628" max="15869" width="11.5546875" style="78"/>
    <col min="15870" max="15870" width="30.33203125" style="78" customWidth="1"/>
    <col min="15871" max="15871" width="10.44140625" style="78" customWidth="1"/>
    <col min="15872" max="15873" width="11.5546875" style="78"/>
    <col min="15874" max="15874" width="10.33203125" style="78" customWidth="1"/>
    <col min="15875" max="15875" width="9.5546875" style="78" customWidth="1"/>
    <col min="15876" max="15876" width="13.109375" style="78" customWidth="1"/>
    <col min="15877" max="15877" width="9.88671875" style="78" customWidth="1"/>
    <col min="15878" max="15878" width="9.109375" style="78" customWidth="1"/>
    <col min="15879" max="15880" width="13.88671875" style="78" customWidth="1"/>
    <col min="15881" max="15881" width="10.5546875" style="78" customWidth="1"/>
    <col min="15882" max="15882" width="15.109375" style="78" customWidth="1"/>
    <col min="15883" max="15883" width="20.44140625" style="78" customWidth="1"/>
    <col min="15884" max="16125" width="11.5546875" style="78"/>
    <col min="16126" max="16126" width="30.33203125" style="78" customWidth="1"/>
    <col min="16127" max="16127" width="10.44140625" style="78" customWidth="1"/>
    <col min="16128" max="16129" width="11.5546875" style="78"/>
    <col min="16130" max="16130" width="10.33203125" style="78" customWidth="1"/>
    <col min="16131" max="16131" width="9.5546875" style="78" customWidth="1"/>
    <col min="16132" max="16132" width="13.109375" style="78" customWidth="1"/>
    <col min="16133" max="16133" width="9.88671875" style="78" customWidth="1"/>
    <col min="16134" max="16134" width="9.109375" style="78" customWidth="1"/>
    <col min="16135" max="16136" width="13.88671875" style="78" customWidth="1"/>
    <col min="16137" max="16137" width="10.5546875" style="78" customWidth="1"/>
    <col min="16138" max="16138" width="15.109375" style="78" customWidth="1"/>
    <col min="16139" max="16139" width="20.44140625" style="78" customWidth="1"/>
    <col min="16140" max="16380" width="11.5546875" style="78"/>
    <col min="16381" max="16384" width="11.5546875" style="78" customWidth="1"/>
  </cols>
  <sheetData>
    <row r="1" spans="1:15" ht="15" thickBot="1" x14ac:dyDescent="0.35"/>
    <row r="2" spans="1:15" ht="26.4" customHeight="1" thickBot="1" x14ac:dyDescent="0.35">
      <c r="B2" s="161" t="s">
        <v>16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5" ht="15" thickBot="1" x14ac:dyDescent="0.35">
      <c r="A3" s="81"/>
      <c r="B3" s="82"/>
    </row>
    <row r="4" spans="1:15" ht="15" thickBot="1" x14ac:dyDescent="0.35">
      <c r="A4" s="81"/>
      <c r="F4" s="155" t="s">
        <v>14</v>
      </c>
      <c r="G4" s="156"/>
      <c r="H4" s="157"/>
      <c r="I4" s="158" t="s">
        <v>3</v>
      </c>
      <c r="J4" s="159"/>
      <c r="K4" s="160"/>
    </row>
    <row r="5" spans="1:15" ht="43.8" thickBot="1" x14ac:dyDescent="0.35">
      <c r="A5" s="94" t="s">
        <v>12</v>
      </c>
      <c r="B5" s="94" t="s">
        <v>9</v>
      </c>
      <c r="C5" s="95" t="s">
        <v>10</v>
      </c>
      <c r="D5" s="94" t="s">
        <v>0</v>
      </c>
      <c r="E5" s="94" t="s">
        <v>1</v>
      </c>
      <c r="F5" s="96" t="s">
        <v>4</v>
      </c>
      <c r="G5" s="97" t="s">
        <v>5</v>
      </c>
      <c r="H5" s="97" t="s">
        <v>6</v>
      </c>
      <c r="I5" s="98" t="s">
        <v>7</v>
      </c>
      <c r="J5" s="97" t="s">
        <v>5</v>
      </c>
      <c r="K5" s="97" t="s">
        <v>8</v>
      </c>
      <c r="N5" s="153" t="s">
        <v>49</v>
      </c>
      <c r="O5" s="154"/>
    </row>
    <row r="6" spans="1:15" s="87" customFormat="1" ht="15" thickBot="1" x14ac:dyDescent="0.35">
      <c r="A6" s="83"/>
      <c r="B6" s="83"/>
      <c r="C6" s="84">
        <f>SUM(H6+K6)</f>
        <v>0</v>
      </c>
      <c r="D6" s="83"/>
      <c r="E6" s="83"/>
      <c r="F6" s="83"/>
      <c r="G6" s="85">
        <v>7000</v>
      </c>
      <c r="H6" s="84">
        <f>F6*G6</f>
        <v>0</v>
      </c>
      <c r="I6" s="83"/>
      <c r="J6" s="84">
        <v>9000</v>
      </c>
      <c r="K6" s="86">
        <f t="shared" ref="K6:K69" si="0">SUM(I6*J6)</f>
        <v>0</v>
      </c>
    </row>
    <row r="7" spans="1:15" s="87" customFormat="1" x14ac:dyDescent="0.3">
      <c r="A7" s="83"/>
      <c r="B7" s="83"/>
      <c r="C7" s="84">
        <f t="shared" ref="C7:C69" si="1">SUM(H7+K7)</f>
        <v>0</v>
      </c>
      <c r="D7" s="83"/>
      <c r="E7" s="83"/>
      <c r="F7" s="83"/>
      <c r="G7" s="85">
        <v>7000</v>
      </c>
      <c r="H7" s="84">
        <f>F7*G7</f>
        <v>0</v>
      </c>
      <c r="I7" s="83"/>
      <c r="J7" s="84">
        <v>9000</v>
      </c>
      <c r="K7" s="86">
        <f t="shared" ref="K7" si="2">SUM(I7*J7)</f>
        <v>0</v>
      </c>
      <c r="N7" s="151"/>
      <c r="O7" s="152"/>
    </row>
    <row r="8" spans="1:15" s="87" customFormat="1" x14ac:dyDescent="0.3">
      <c r="A8" s="83"/>
      <c r="B8" s="83"/>
      <c r="C8" s="84">
        <f t="shared" si="1"/>
        <v>0</v>
      </c>
      <c r="D8" s="83"/>
      <c r="E8" s="83"/>
      <c r="F8" s="83"/>
      <c r="G8" s="85">
        <v>7000</v>
      </c>
      <c r="H8" s="84">
        <f>F8*G8</f>
        <v>0</v>
      </c>
      <c r="I8" s="83"/>
      <c r="J8" s="84">
        <v>9000</v>
      </c>
      <c r="K8" s="86">
        <f t="shared" si="0"/>
        <v>0</v>
      </c>
      <c r="N8" s="88" t="s">
        <v>17</v>
      </c>
      <c r="O8" s="89"/>
    </row>
    <row r="9" spans="1:15" s="87" customFormat="1" x14ac:dyDescent="0.3">
      <c r="A9" s="83"/>
      <c r="B9" s="83"/>
      <c r="C9" s="84">
        <f t="shared" si="1"/>
        <v>0</v>
      </c>
      <c r="D9" s="83"/>
      <c r="E9" s="83"/>
      <c r="F9" s="83"/>
      <c r="G9" s="85">
        <v>7000</v>
      </c>
      <c r="H9" s="84">
        <f>F9*G9</f>
        <v>0</v>
      </c>
      <c r="I9" s="83"/>
      <c r="J9" s="84">
        <v>9000</v>
      </c>
      <c r="K9" s="86">
        <f t="shared" si="0"/>
        <v>0</v>
      </c>
      <c r="N9" s="88" t="s">
        <v>18</v>
      </c>
      <c r="O9" s="89"/>
    </row>
    <row r="10" spans="1:15" s="87" customFormat="1" ht="15" thickBot="1" x14ac:dyDescent="0.35">
      <c r="A10" s="83"/>
      <c r="B10" s="83"/>
      <c r="C10" s="84">
        <f t="shared" si="1"/>
        <v>0</v>
      </c>
      <c r="D10" s="83"/>
      <c r="E10" s="83"/>
      <c r="F10" s="83"/>
      <c r="G10" s="85">
        <v>7000</v>
      </c>
      <c r="H10" s="84">
        <f>F10*G10</f>
        <v>0</v>
      </c>
      <c r="I10" s="83"/>
      <c r="J10" s="84">
        <v>9000</v>
      </c>
      <c r="K10" s="86">
        <f t="shared" si="0"/>
        <v>0</v>
      </c>
      <c r="N10" s="90" t="s">
        <v>19</v>
      </c>
      <c r="O10" s="91"/>
    </row>
    <row r="11" spans="1:15" s="87" customFormat="1" x14ac:dyDescent="0.3">
      <c r="A11" s="83"/>
      <c r="B11" s="83"/>
      <c r="C11" s="84">
        <f t="shared" si="1"/>
        <v>0</v>
      </c>
      <c r="D11" s="83"/>
      <c r="E11" s="83"/>
      <c r="F11" s="83"/>
      <c r="G11" s="85">
        <v>7000</v>
      </c>
      <c r="H11" s="85">
        <f t="shared" ref="H11:H69" si="3">SUM(F11*G11)</f>
        <v>0</v>
      </c>
      <c r="I11" s="83"/>
      <c r="J11" s="84">
        <v>9000</v>
      </c>
      <c r="K11" s="86">
        <f t="shared" si="0"/>
        <v>0</v>
      </c>
    </row>
    <row r="12" spans="1:15" s="87" customFormat="1" x14ac:dyDescent="0.3">
      <c r="A12" s="83"/>
      <c r="B12" s="83"/>
      <c r="C12" s="84">
        <f t="shared" si="1"/>
        <v>0</v>
      </c>
      <c r="D12" s="83"/>
      <c r="E12" s="83"/>
      <c r="F12" s="83"/>
      <c r="G12" s="85">
        <v>7000</v>
      </c>
      <c r="H12" s="85">
        <f t="shared" si="3"/>
        <v>0</v>
      </c>
      <c r="I12" s="83"/>
      <c r="J12" s="84">
        <v>9000</v>
      </c>
      <c r="K12" s="86">
        <f t="shared" si="0"/>
        <v>0</v>
      </c>
    </row>
    <row r="13" spans="1:15" s="87" customFormat="1" x14ac:dyDescent="0.3">
      <c r="A13" s="83"/>
      <c r="B13" s="83"/>
      <c r="C13" s="84">
        <f t="shared" si="1"/>
        <v>0</v>
      </c>
      <c r="D13" s="83"/>
      <c r="E13" s="83"/>
      <c r="F13" s="83"/>
      <c r="G13" s="85">
        <v>7000</v>
      </c>
      <c r="H13" s="85">
        <f t="shared" si="3"/>
        <v>0</v>
      </c>
      <c r="I13" s="83"/>
      <c r="J13" s="84">
        <v>9000</v>
      </c>
      <c r="K13" s="86">
        <f t="shared" si="0"/>
        <v>0</v>
      </c>
    </row>
    <row r="14" spans="1:15" s="87" customFormat="1" x14ac:dyDescent="0.3">
      <c r="A14" s="83"/>
      <c r="B14" s="83"/>
      <c r="C14" s="84">
        <f t="shared" si="1"/>
        <v>0</v>
      </c>
      <c r="D14" s="83"/>
      <c r="E14" s="83"/>
      <c r="F14" s="83"/>
      <c r="G14" s="85">
        <v>7000</v>
      </c>
      <c r="H14" s="85">
        <f t="shared" si="3"/>
        <v>0</v>
      </c>
      <c r="I14" s="83"/>
      <c r="J14" s="84">
        <v>9000</v>
      </c>
      <c r="K14" s="86">
        <f t="shared" si="0"/>
        <v>0</v>
      </c>
    </row>
    <row r="15" spans="1:15" s="87" customFormat="1" x14ac:dyDescent="0.3">
      <c r="A15" s="83"/>
      <c r="B15" s="83"/>
      <c r="C15" s="84">
        <f t="shared" si="1"/>
        <v>0</v>
      </c>
      <c r="D15" s="83"/>
      <c r="E15" s="83"/>
      <c r="F15" s="83"/>
      <c r="G15" s="85">
        <v>7000</v>
      </c>
      <c r="H15" s="85">
        <f t="shared" si="3"/>
        <v>0</v>
      </c>
      <c r="I15" s="83"/>
      <c r="J15" s="84">
        <v>9000</v>
      </c>
      <c r="K15" s="86">
        <f t="shared" si="0"/>
        <v>0</v>
      </c>
    </row>
    <row r="16" spans="1:15" s="87" customFormat="1" x14ac:dyDescent="0.3">
      <c r="A16" s="83"/>
      <c r="B16" s="83"/>
      <c r="C16" s="84">
        <f t="shared" si="1"/>
        <v>0</v>
      </c>
      <c r="D16" s="83"/>
      <c r="E16" s="83"/>
      <c r="F16" s="83"/>
      <c r="G16" s="85">
        <v>7000</v>
      </c>
      <c r="H16" s="85">
        <f t="shared" si="3"/>
        <v>0</v>
      </c>
      <c r="I16" s="83"/>
      <c r="J16" s="84">
        <v>9000</v>
      </c>
      <c r="K16" s="86">
        <f t="shared" si="0"/>
        <v>0</v>
      </c>
    </row>
    <row r="17" spans="1:11" s="87" customFormat="1" x14ac:dyDescent="0.3">
      <c r="A17" s="83"/>
      <c r="B17" s="83"/>
      <c r="C17" s="84">
        <f t="shared" si="1"/>
        <v>0</v>
      </c>
      <c r="D17" s="83"/>
      <c r="E17" s="83"/>
      <c r="F17" s="83"/>
      <c r="G17" s="85">
        <v>7000</v>
      </c>
      <c r="H17" s="85">
        <f t="shared" si="3"/>
        <v>0</v>
      </c>
      <c r="I17" s="83"/>
      <c r="J17" s="84">
        <v>9000</v>
      </c>
      <c r="K17" s="86">
        <f t="shared" si="0"/>
        <v>0</v>
      </c>
    </row>
    <row r="18" spans="1:11" s="87" customFormat="1" x14ac:dyDescent="0.3">
      <c r="A18" s="83"/>
      <c r="B18" s="83"/>
      <c r="C18" s="84">
        <f t="shared" si="1"/>
        <v>0</v>
      </c>
      <c r="D18" s="83"/>
      <c r="E18" s="83"/>
      <c r="F18" s="83"/>
      <c r="G18" s="85">
        <v>7000</v>
      </c>
      <c r="H18" s="85">
        <f t="shared" si="3"/>
        <v>0</v>
      </c>
      <c r="I18" s="83"/>
      <c r="J18" s="84">
        <v>9000</v>
      </c>
      <c r="K18" s="86">
        <f t="shared" si="0"/>
        <v>0</v>
      </c>
    </row>
    <row r="19" spans="1:11" s="87" customFormat="1" x14ac:dyDescent="0.3">
      <c r="A19" s="83"/>
      <c r="B19" s="83"/>
      <c r="C19" s="84">
        <f t="shared" si="1"/>
        <v>0</v>
      </c>
      <c r="D19" s="83"/>
      <c r="E19" s="83"/>
      <c r="F19" s="83"/>
      <c r="G19" s="85">
        <v>7000</v>
      </c>
      <c r="H19" s="85">
        <f t="shared" si="3"/>
        <v>0</v>
      </c>
      <c r="I19" s="83"/>
      <c r="J19" s="84">
        <v>9000</v>
      </c>
      <c r="K19" s="86">
        <f t="shared" si="0"/>
        <v>0</v>
      </c>
    </row>
    <row r="20" spans="1:11" s="87" customFormat="1" x14ac:dyDescent="0.3">
      <c r="A20" s="83"/>
      <c r="B20" s="83"/>
      <c r="C20" s="84">
        <f t="shared" si="1"/>
        <v>0</v>
      </c>
      <c r="D20" s="83"/>
      <c r="E20" s="83"/>
      <c r="F20" s="83"/>
      <c r="G20" s="85">
        <v>7000</v>
      </c>
      <c r="H20" s="85">
        <f t="shared" si="3"/>
        <v>0</v>
      </c>
      <c r="I20" s="83"/>
      <c r="J20" s="84">
        <v>9000</v>
      </c>
      <c r="K20" s="86">
        <f t="shared" si="0"/>
        <v>0</v>
      </c>
    </row>
    <row r="21" spans="1:11" s="87" customFormat="1" x14ac:dyDescent="0.3">
      <c r="A21" s="83"/>
      <c r="B21" s="83"/>
      <c r="C21" s="84">
        <f t="shared" si="1"/>
        <v>0</v>
      </c>
      <c r="D21" s="83"/>
      <c r="E21" s="83"/>
      <c r="F21" s="83"/>
      <c r="G21" s="85">
        <v>7000</v>
      </c>
      <c r="H21" s="85">
        <f t="shared" si="3"/>
        <v>0</v>
      </c>
      <c r="I21" s="83"/>
      <c r="J21" s="84">
        <v>9000</v>
      </c>
      <c r="K21" s="86">
        <f t="shared" si="0"/>
        <v>0</v>
      </c>
    </row>
    <row r="22" spans="1:11" s="87" customFormat="1" x14ac:dyDescent="0.3">
      <c r="A22" s="83"/>
      <c r="B22" s="83"/>
      <c r="C22" s="84">
        <f t="shared" si="1"/>
        <v>0</v>
      </c>
      <c r="D22" s="83"/>
      <c r="E22" s="83"/>
      <c r="F22" s="83"/>
      <c r="G22" s="85">
        <v>7000</v>
      </c>
      <c r="H22" s="85">
        <f t="shared" si="3"/>
        <v>0</v>
      </c>
      <c r="I22" s="83"/>
      <c r="J22" s="84">
        <v>9000</v>
      </c>
      <c r="K22" s="86">
        <f t="shared" si="0"/>
        <v>0</v>
      </c>
    </row>
    <row r="23" spans="1:11" s="87" customFormat="1" x14ac:dyDescent="0.3">
      <c r="A23" s="83"/>
      <c r="B23" s="83"/>
      <c r="C23" s="84">
        <f t="shared" si="1"/>
        <v>0</v>
      </c>
      <c r="D23" s="83"/>
      <c r="E23" s="83"/>
      <c r="F23" s="83"/>
      <c r="G23" s="85">
        <v>7000</v>
      </c>
      <c r="H23" s="85">
        <f t="shared" si="3"/>
        <v>0</v>
      </c>
      <c r="I23" s="83"/>
      <c r="J23" s="84">
        <v>9000</v>
      </c>
      <c r="K23" s="86">
        <f t="shared" si="0"/>
        <v>0</v>
      </c>
    </row>
    <row r="24" spans="1:11" s="87" customFormat="1" ht="13.8" customHeight="1" x14ac:dyDescent="0.3">
      <c r="A24" s="83"/>
      <c r="B24" s="83"/>
      <c r="C24" s="84">
        <f t="shared" si="1"/>
        <v>0</v>
      </c>
      <c r="D24" s="83"/>
      <c r="E24" s="83"/>
      <c r="F24" s="83"/>
      <c r="G24" s="85">
        <v>7000</v>
      </c>
      <c r="H24" s="85">
        <f t="shared" si="3"/>
        <v>0</v>
      </c>
      <c r="I24" s="83"/>
      <c r="J24" s="84">
        <v>9000</v>
      </c>
      <c r="K24" s="86">
        <f t="shared" si="0"/>
        <v>0</v>
      </c>
    </row>
    <row r="25" spans="1:11" s="87" customFormat="1" x14ac:dyDescent="0.3">
      <c r="A25" s="83"/>
      <c r="B25" s="83"/>
      <c r="C25" s="84">
        <f t="shared" si="1"/>
        <v>0</v>
      </c>
      <c r="D25" s="83"/>
      <c r="E25" s="83"/>
      <c r="F25" s="83"/>
      <c r="G25" s="85">
        <v>7000</v>
      </c>
      <c r="H25" s="85">
        <f t="shared" si="3"/>
        <v>0</v>
      </c>
      <c r="I25" s="83"/>
      <c r="J25" s="84">
        <v>9000</v>
      </c>
      <c r="K25" s="86">
        <f t="shared" si="0"/>
        <v>0</v>
      </c>
    </row>
    <row r="26" spans="1:11" s="87" customFormat="1" x14ac:dyDescent="0.3">
      <c r="A26" s="83"/>
      <c r="B26" s="83"/>
      <c r="C26" s="84">
        <f t="shared" si="1"/>
        <v>0</v>
      </c>
      <c r="D26" s="83"/>
      <c r="E26" s="83"/>
      <c r="F26" s="83"/>
      <c r="G26" s="85">
        <v>7000</v>
      </c>
      <c r="H26" s="85">
        <f t="shared" si="3"/>
        <v>0</v>
      </c>
      <c r="I26" s="83"/>
      <c r="J26" s="84">
        <v>9000</v>
      </c>
      <c r="K26" s="86">
        <f t="shared" si="0"/>
        <v>0</v>
      </c>
    </row>
    <row r="27" spans="1:11" s="87" customFormat="1" x14ac:dyDescent="0.3">
      <c r="A27" s="83"/>
      <c r="B27" s="83"/>
      <c r="C27" s="84">
        <f t="shared" si="1"/>
        <v>0</v>
      </c>
      <c r="D27" s="83"/>
      <c r="E27" s="83"/>
      <c r="F27" s="83"/>
      <c r="G27" s="85">
        <v>7000</v>
      </c>
      <c r="H27" s="85">
        <f t="shared" ref="H27" si="4">SUM(F27*G27)</f>
        <v>0</v>
      </c>
      <c r="I27" s="83"/>
      <c r="J27" s="84">
        <v>9000</v>
      </c>
      <c r="K27" s="86">
        <f t="shared" ref="K27" si="5">SUM(I27*J27)</f>
        <v>0</v>
      </c>
    </row>
    <row r="28" spans="1:11" s="87" customFormat="1" x14ac:dyDescent="0.3">
      <c r="A28" s="83"/>
      <c r="B28" s="83"/>
      <c r="C28" s="84">
        <f t="shared" si="1"/>
        <v>0</v>
      </c>
      <c r="D28" s="83"/>
      <c r="E28" s="83"/>
      <c r="F28" s="83"/>
      <c r="G28" s="85">
        <v>7000</v>
      </c>
      <c r="H28" s="85">
        <f t="shared" si="3"/>
        <v>0</v>
      </c>
      <c r="I28" s="83"/>
      <c r="J28" s="84">
        <v>9000</v>
      </c>
      <c r="K28" s="86">
        <f t="shared" si="0"/>
        <v>0</v>
      </c>
    </row>
    <row r="29" spans="1:11" s="87" customFormat="1" x14ac:dyDescent="0.3">
      <c r="A29" s="83"/>
      <c r="B29" s="83"/>
      <c r="C29" s="84">
        <f t="shared" si="1"/>
        <v>0</v>
      </c>
      <c r="D29" s="83"/>
      <c r="E29" s="83"/>
      <c r="F29" s="83"/>
      <c r="G29" s="85">
        <v>7000</v>
      </c>
      <c r="H29" s="85">
        <f t="shared" si="3"/>
        <v>0</v>
      </c>
      <c r="I29" s="83"/>
      <c r="J29" s="84">
        <v>9000</v>
      </c>
      <c r="K29" s="86">
        <f t="shared" si="0"/>
        <v>0</v>
      </c>
    </row>
    <row r="30" spans="1:11" s="87" customFormat="1" x14ac:dyDescent="0.3">
      <c r="A30" s="83"/>
      <c r="B30" s="83"/>
      <c r="C30" s="84">
        <f t="shared" si="1"/>
        <v>0</v>
      </c>
      <c r="D30" s="83"/>
      <c r="E30" s="83"/>
      <c r="F30" s="83"/>
      <c r="G30" s="85">
        <v>7000</v>
      </c>
      <c r="H30" s="85">
        <f t="shared" si="3"/>
        <v>0</v>
      </c>
      <c r="I30" s="83"/>
      <c r="J30" s="84">
        <v>9000</v>
      </c>
      <c r="K30" s="86">
        <f t="shared" si="0"/>
        <v>0</v>
      </c>
    </row>
    <row r="31" spans="1:11" s="87" customFormat="1" x14ac:dyDescent="0.3">
      <c r="A31" s="83"/>
      <c r="B31" s="83"/>
      <c r="C31" s="84">
        <f t="shared" si="1"/>
        <v>0</v>
      </c>
      <c r="D31" s="83"/>
      <c r="E31" s="83"/>
      <c r="F31" s="83"/>
      <c r="G31" s="85">
        <v>7000</v>
      </c>
      <c r="H31" s="85">
        <f t="shared" si="3"/>
        <v>0</v>
      </c>
      <c r="I31" s="83"/>
      <c r="J31" s="84">
        <v>9000</v>
      </c>
      <c r="K31" s="86">
        <f t="shared" si="0"/>
        <v>0</v>
      </c>
    </row>
    <row r="32" spans="1:11" s="87" customFormat="1" x14ac:dyDescent="0.3">
      <c r="A32" s="83"/>
      <c r="B32" s="83"/>
      <c r="C32" s="84">
        <f t="shared" si="1"/>
        <v>0</v>
      </c>
      <c r="D32" s="83"/>
      <c r="E32" s="83"/>
      <c r="F32" s="83"/>
      <c r="G32" s="85">
        <v>7000</v>
      </c>
      <c r="H32" s="85">
        <f t="shared" si="3"/>
        <v>0</v>
      </c>
      <c r="I32" s="83"/>
      <c r="J32" s="84">
        <v>9000</v>
      </c>
      <c r="K32" s="86">
        <f t="shared" si="0"/>
        <v>0</v>
      </c>
    </row>
    <row r="33" spans="1:11" s="87" customFormat="1" x14ac:dyDescent="0.3">
      <c r="A33" s="83"/>
      <c r="B33" s="83"/>
      <c r="C33" s="84">
        <f t="shared" si="1"/>
        <v>0</v>
      </c>
      <c r="D33" s="83"/>
      <c r="E33" s="83"/>
      <c r="F33" s="83"/>
      <c r="G33" s="85">
        <v>7000</v>
      </c>
      <c r="H33" s="85">
        <f t="shared" si="3"/>
        <v>0</v>
      </c>
      <c r="I33" s="83"/>
      <c r="J33" s="84">
        <v>9000</v>
      </c>
      <c r="K33" s="86">
        <f t="shared" si="0"/>
        <v>0</v>
      </c>
    </row>
    <row r="34" spans="1:11" s="87" customFormat="1" x14ac:dyDescent="0.3">
      <c r="A34" s="83"/>
      <c r="B34" s="83"/>
      <c r="C34" s="84">
        <f t="shared" si="1"/>
        <v>0</v>
      </c>
      <c r="D34" s="83"/>
      <c r="E34" s="83"/>
      <c r="F34" s="83"/>
      <c r="G34" s="85">
        <v>7000</v>
      </c>
      <c r="H34" s="85">
        <f t="shared" si="3"/>
        <v>0</v>
      </c>
      <c r="I34" s="83"/>
      <c r="J34" s="84">
        <v>9000</v>
      </c>
      <c r="K34" s="86">
        <f t="shared" si="0"/>
        <v>0</v>
      </c>
    </row>
    <row r="35" spans="1:11" s="87" customFormat="1" x14ac:dyDescent="0.3">
      <c r="A35" s="83"/>
      <c r="B35" s="83"/>
      <c r="C35" s="84">
        <f t="shared" si="1"/>
        <v>0</v>
      </c>
      <c r="D35" s="83"/>
      <c r="E35" s="83"/>
      <c r="F35" s="83"/>
      <c r="G35" s="85">
        <v>7000</v>
      </c>
      <c r="H35" s="85">
        <f t="shared" si="3"/>
        <v>0</v>
      </c>
      <c r="I35" s="83"/>
      <c r="J35" s="84">
        <v>9000</v>
      </c>
      <c r="K35" s="86">
        <f t="shared" si="0"/>
        <v>0</v>
      </c>
    </row>
    <row r="36" spans="1:11" s="87" customFormat="1" x14ac:dyDescent="0.3">
      <c r="A36" s="83"/>
      <c r="B36" s="83"/>
      <c r="C36" s="84">
        <f t="shared" si="1"/>
        <v>0</v>
      </c>
      <c r="D36" s="83"/>
      <c r="E36" s="83"/>
      <c r="F36" s="83"/>
      <c r="G36" s="85">
        <v>7000</v>
      </c>
      <c r="H36" s="85">
        <f t="shared" si="3"/>
        <v>0</v>
      </c>
      <c r="I36" s="83"/>
      <c r="J36" s="84">
        <v>9000</v>
      </c>
      <c r="K36" s="86">
        <f t="shared" si="0"/>
        <v>0</v>
      </c>
    </row>
    <row r="37" spans="1:11" s="87" customFormat="1" x14ac:dyDescent="0.3">
      <c r="A37" s="83"/>
      <c r="B37" s="83"/>
      <c r="C37" s="84">
        <f t="shared" si="1"/>
        <v>0</v>
      </c>
      <c r="D37" s="83"/>
      <c r="E37" s="83"/>
      <c r="F37" s="83"/>
      <c r="G37" s="85">
        <v>7000</v>
      </c>
      <c r="H37" s="85">
        <f t="shared" si="3"/>
        <v>0</v>
      </c>
      <c r="I37" s="83"/>
      <c r="J37" s="84">
        <v>9000</v>
      </c>
      <c r="K37" s="86">
        <f t="shared" si="0"/>
        <v>0</v>
      </c>
    </row>
    <row r="38" spans="1:11" s="87" customFormat="1" x14ac:dyDescent="0.3">
      <c r="A38" s="83"/>
      <c r="B38" s="83"/>
      <c r="C38" s="84">
        <f t="shared" si="1"/>
        <v>0</v>
      </c>
      <c r="D38" s="83"/>
      <c r="E38" s="83"/>
      <c r="F38" s="83"/>
      <c r="G38" s="85">
        <v>7000</v>
      </c>
      <c r="H38" s="85">
        <f t="shared" si="3"/>
        <v>0</v>
      </c>
      <c r="I38" s="83"/>
      <c r="J38" s="84">
        <v>9000</v>
      </c>
      <c r="K38" s="86">
        <f t="shared" si="0"/>
        <v>0</v>
      </c>
    </row>
    <row r="39" spans="1:11" s="87" customFormat="1" x14ac:dyDescent="0.3">
      <c r="A39" s="83"/>
      <c r="B39" s="83"/>
      <c r="C39" s="84">
        <f t="shared" si="1"/>
        <v>0</v>
      </c>
      <c r="D39" s="83"/>
      <c r="E39" s="83"/>
      <c r="F39" s="83"/>
      <c r="G39" s="85">
        <v>7000</v>
      </c>
      <c r="H39" s="85">
        <f t="shared" si="3"/>
        <v>0</v>
      </c>
      <c r="I39" s="83"/>
      <c r="J39" s="84">
        <v>9000</v>
      </c>
      <c r="K39" s="86">
        <f t="shared" si="0"/>
        <v>0</v>
      </c>
    </row>
    <row r="40" spans="1:11" s="87" customFormat="1" x14ac:dyDescent="0.3">
      <c r="A40" s="92"/>
      <c r="B40" s="92"/>
      <c r="C40" s="84">
        <f t="shared" si="1"/>
        <v>0</v>
      </c>
      <c r="D40" s="83"/>
      <c r="E40" s="83"/>
      <c r="F40" s="83"/>
      <c r="G40" s="85">
        <v>7000</v>
      </c>
      <c r="H40" s="85">
        <f t="shared" si="3"/>
        <v>0</v>
      </c>
      <c r="I40" s="83"/>
      <c r="J40" s="84">
        <v>9000</v>
      </c>
      <c r="K40" s="86">
        <f t="shared" si="0"/>
        <v>0</v>
      </c>
    </row>
    <row r="41" spans="1:11" s="87" customFormat="1" x14ac:dyDescent="0.3">
      <c r="A41" s="92"/>
      <c r="B41" s="92"/>
      <c r="C41" s="84">
        <f t="shared" si="1"/>
        <v>0</v>
      </c>
      <c r="D41" s="83"/>
      <c r="E41" s="83"/>
      <c r="F41" s="83"/>
      <c r="G41" s="85">
        <v>7000</v>
      </c>
      <c r="H41" s="85">
        <f t="shared" si="3"/>
        <v>0</v>
      </c>
      <c r="I41" s="83"/>
      <c r="J41" s="84">
        <v>9000</v>
      </c>
      <c r="K41" s="86">
        <f t="shared" si="0"/>
        <v>0</v>
      </c>
    </row>
    <row r="42" spans="1:11" s="87" customFormat="1" x14ac:dyDescent="0.3">
      <c r="A42" s="92"/>
      <c r="B42" s="92"/>
      <c r="C42" s="84">
        <f t="shared" si="1"/>
        <v>0</v>
      </c>
      <c r="D42" s="83"/>
      <c r="E42" s="83"/>
      <c r="F42" s="83"/>
      <c r="G42" s="85">
        <v>7000</v>
      </c>
      <c r="H42" s="85">
        <f t="shared" si="3"/>
        <v>0</v>
      </c>
      <c r="I42" s="83"/>
      <c r="J42" s="84">
        <v>9000</v>
      </c>
      <c r="K42" s="86">
        <f t="shared" si="0"/>
        <v>0</v>
      </c>
    </row>
    <row r="43" spans="1:11" s="87" customFormat="1" x14ac:dyDescent="0.3">
      <c r="A43" s="92"/>
      <c r="B43" s="92"/>
      <c r="C43" s="84">
        <f t="shared" si="1"/>
        <v>0</v>
      </c>
      <c r="D43" s="83"/>
      <c r="E43" s="83"/>
      <c r="F43" s="83"/>
      <c r="G43" s="85">
        <v>7000</v>
      </c>
      <c r="H43" s="85">
        <f t="shared" si="3"/>
        <v>0</v>
      </c>
      <c r="I43" s="83"/>
      <c r="J43" s="84">
        <v>9000</v>
      </c>
      <c r="K43" s="86">
        <f t="shared" si="0"/>
        <v>0</v>
      </c>
    </row>
    <row r="44" spans="1:11" s="87" customFormat="1" x14ac:dyDescent="0.3">
      <c r="A44" s="92"/>
      <c r="B44" s="92"/>
      <c r="C44" s="84">
        <f t="shared" si="1"/>
        <v>0</v>
      </c>
      <c r="D44" s="83"/>
      <c r="E44" s="83"/>
      <c r="F44" s="83"/>
      <c r="G44" s="85">
        <v>7000</v>
      </c>
      <c r="H44" s="85">
        <f t="shared" si="3"/>
        <v>0</v>
      </c>
      <c r="I44" s="83"/>
      <c r="J44" s="84">
        <v>9000</v>
      </c>
      <c r="K44" s="86">
        <f t="shared" si="0"/>
        <v>0</v>
      </c>
    </row>
    <row r="45" spans="1:11" s="87" customFormat="1" x14ac:dyDescent="0.3">
      <c r="A45" s="92"/>
      <c r="B45" s="92"/>
      <c r="C45" s="84">
        <f t="shared" si="1"/>
        <v>0</v>
      </c>
      <c r="D45" s="83"/>
      <c r="E45" s="83"/>
      <c r="F45" s="83"/>
      <c r="G45" s="85">
        <v>7000</v>
      </c>
      <c r="H45" s="85">
        <f t="shared" si="3"/>
        <v>0</v>
      </c>
      <c r="I45" s="83"/>
      <c r="J45" s="84">
        <v>9000</v>
      </c>
      <c r="K45" s="86">
        <f t="shared" si="0"/>
        <v>0</v>
      </c>
    </row>
    <row r="46" spans="1:11" s="87" customFormat="1" x14ac:dyDescent="0.3">
      <c r="A46" s="92"/>
      <c r="B46" s="92"/>
      <c r="C46" s="84">
        <f t="shared" si="1"/>
        <v>0</v>
      </c>
      <c r="D46" s="83"/>
      <c r="E46" s="83"/>
      <c r="F46" s="83"/>
      <c r="G46" s="85">
        <v>7000</v>
      </c>
      <c r="H46" s="85">
        <f t="shared" si="3"/>
        <v>0</v>
      </c>
      <c r="I46" s="83"/>
      <c r="J46" s="84">
        <v>9000</v>
      </c>
      <c r="K46" s="86">
        <f t="shared" si="0"/>
        <v>0</v>
      </c>
    </row>
    <row r="47" spans="1:11" s="87" customFormat="1" x14ac:dyDescent="0.3">
      <c r="A47" s="92"/>
      <c r="B47" s="92"/>
      <c r="C47" s="84">
        <f t="shared" si="1"/>
        <v>0</v>
      </c>
      <c r="D47" s="83"/>
      <c r="E47" s="83"/>
      <c r="F47" s="83"/>
      <c r="G47" s="85">
        <v>7000</v>
      </c>
      <c r="H47" s="85">
        <f t="shared" si="3"/>
        <v>0</v>
      </c>
      <c r="I47" s="83"/>
      <c r="J47" s="84">
        <v>9000</v>
      </c>
      <c r="K47" s="86">
        <f t="shared" si="0"/>
        <v>0</v>
      </c>
    </row>
    <row r="48" spans="1:11" s="87" customFormat="1" x14ac:dyDescent="0.3">
      <c r="A48" s="92"/>
      <c r="B48" s="92"/>
      <c r="C48" s="84">
        <f t="shared" si="1"/>
        <v>0</v>
      </c>
      <c r="D48" s="83"/>
      <c r="E48" s="83"/>
      <c r="F48" s="83"/>
      <c r="G48" s="85">
        <v>7000</v>
      </c>
      <c r="H48" s="85">
        <f t="shared" si="3"/>
        <v>0</v>
      </c>
      <c r="I48" s="83"/>
      <c r="J48" s="84">
        <v>9000</v>
      </c>
      <c r="K48" s="86">
        <f t="shared" si="0"/>
        <v>0</v>
      </c>
    </row>
    <row r="49" spans="1:11" s="87" customFormat="1" x14ac:dyDescent="0.3">
      <c r="A49" s="92"/>
      <c r="B49" s="92"/>
      <c r="C49" s="84">
        <f t="shared" si="1"/>
        <v>0</v>
      </c>
      <c r="D49" s="83"/>
      <c r="E49" s="83"/>
      <c r="F49" s="83"/>
      <c r="G49" s="85">
        <v>7000</v>
      </c>
      <c r="H49" s="85">
        <f t="shared" si="3"/>
        <v>0</v>
      </c>
      <c r="I49" s="83"/>
      <c r="J49" s="84">
        <v>9000</v>
      </c>
      <c r="K49" s="86">
        <f t="shared" si="0"/>
        <v>0</v>
      </c>
    </row>
    <row r="50" spans="1:11" s="87" customFormat="1" x14ac:dyDescent="0.3">
      <c r="A50" s="92"/>
      <c r="B50" s="92"/>
      <c r="C50" s="84">
        <f t="shared" si="1"/>
        <v>0</v>
      </c>
      <c r="D50" s="83"/>
      <c r="E50" s="83"/>
      <c r="F50" s="83"/>
      <c r="G50" s="85">
        <v>7000</v>
      </c>
      <c r="H50" s="85">
        <f t="shared" si="3"/>
        <v>0</v>
      </c>
      <c r="I50" s="83"/>
      <c r="J50" s="84">
        <v>9000</v>
      </c>
      <c r="K50" s="86">
        <f t="shared" si="0"/>
        <v>0</v>
      </c>
    </row>
    <row r="51" spans="1:11" s="87" customFormat="1" x14ac:dyDescent="0.3">
      <c r="A51" s="92"/>
      <c r="B51" s="92"/>
      <c r="C51" s="84">
        <f t="shared" si="1"/>
        <v>0</v>
      </c>
      <c r="D51" s="83"/>
      <c r="E51" s="83"/>
      <c r="F51" s="83"/>
      <c r="G51" s="85">
        <v>7000</v>
      </c>
      <c r="H51" s="85">
        <f t="shared" si="3"/>
        <v>0</v>
      </c>
      <c r="I51" s="83"/>
      <c r="J51" s="84">
        <v>9000</v>
      </c>
      <c r="K51" s="86">
        <f t="shared" si="0"/>
        <v>0</v>
      </c>
    </row>
    <row r="52" spans="1:11" s="87" customFormat="1" x14ac:dyDescent="0.3">
      <c r="A52" s="92"/>
      <c r="B52" s="92"/>
      <c r="C52" s="84">
        <f t="shared" si="1"/>
        <v>0</v>
      </c>
      <c r="D52" s="83"/>
      <c r="E52" s="83"/>
      <c r="F52" s="83"/>
      <c r="G52" s="85">
        <v>7000</v>
      </c>
      <c r="H52" s="85">
        <f t="shared" si="3"/>
        <v>0</v>
      </c>
      <c r="I52" s="83"/>
      <c r="J52" s="84">
        <v>9000</v>
      </c>
      <c r="K52" s="86">
        <f t="shared" si="0"/>
        <v>0</v>
      </c>
    </row>
    <row r="53" spans="1:11" s="87" customFormat="1" x14ac:dyDescent="0.3">
      <c r="A53" s="92"/>
      <c r="B53" s="92"/>
      <c r="C53" s="84">
        <f t="shared" si="1"/>
        <v>0</v>
      </c>
      <c r="D53" s="83"/>
      <c r="E53" s="83"/>
      <c r="F53" s="83"/>
      <c r="G53" s="85">
        <v>7000</v>
      </c>
      <c r="H53" s="85">
        <f t="shared" si="3"/>
        <v>0</v>
      </c>
      <c r="I53" s="83"/>
      <c r="J53" s="84">
        <v>9000</v>
      </c>
      <c r="K53" s="86">
        <f t="shared" si="0"/>
        <v>0</v>
      </c>
    </row>
    <row r="54" spans="1:11" s="87" customFormat="1" x14ac:dyDescent="0.3">
      <c r="A54" s="92"/>
      <c r="B54" s="92"/>
      <c r="C54" s="84">
        <f t="shared" si="1"/>
        <v>0</v>
      </c>
      <c r="D54" s="83"/>
      <c r="E54" s="83"/>
      <c r="F54" s="83"/>
      <c r="G54" s="85">
        <v>7000</v>
      </c>
      <c r="H54" s="85">
        <f t="shared" si="3"/>
        <v>0</v>
      </c>
      <c r="I54" s="83"/>
      <c r="J54" s="84">
        <v>9000</v>
      </c>
      <c r="K54" s="86">
        <f t="shared" si="0"/>
        <v>0</v>
      </c>
    </row>
    <row r="55" spans="1:11" s="87" customFormat="1" x14ac:dyDescent="0.3">
      <c r="A55" s="92"/>
      <c r="B55" s="92"/>
      <c r="C55" s="84">
        <f t="shared" si="1"/>
        <v>0</v>
      </c>
      <c r="D55" s="83"/>
      <c r="E55" s="83"/>
      <c r="F55" s="83"/>
      <c r="G55" s="85">
        <v>7000</v>
      </c>
      <c r="H55" s="85">
        <f t="shared" si="3"/>
        <v>0</v>
      </c>
      <c r="I55" s="83"/>
      <c r="J55" s="84">
        <v>9000</v>
      </c>
      <c r="K55" s="86">
        <f t="shared" si="0"/>
        <v>0</v>
      </c>
    </row>
    <row r="56" spans="1:11" s="87" customFormat="1" x14ac:dyDescent="0.3">
      <c r="A56" s="92"/>
      <c r="B56" s="92"/>
      <c r="C56" s="84">
        <f t="shared" si="1"/>
        <v>0</v>
      </c>
      <c r="D56" s="83"/>
      <c r="E56" s="83"/>
      <c r="F56" s="83"/>
      <c r="G56" s="85">
        <v>7000</v>
      </c>
      <c r="H56" s="85">
        <f t="shared" si="3"/>
        <v>0</v>
      </c>
      <c r="I56" s="83"/>
      <c r="J56" s="84">
        <v>9000</v>
      </c>
      <c r="K56" s="86">
        <f t="shared" si="0"/>
        <v>0</v>
      </c>
    </row>
    <row r="57" spans="1:11" s="87" customFormat="1" x14ac:dyDescent="0.3">
      <c r="A57" s="92"/>
      <c r="B57" s="92"/>
      <c r="C57" s="84">
        <f t="shared" si="1"/>
        <v>0</v>
      </c>
      <c r="D57" s="83"/>
      <c r="E57" s="83"/>
      <c r="F57" s="83"/>
      <c r="G57" s="85">
        <v>7000</v>
      </c>
      <c r="H57" s="85">
        <f t="shared" si="3"/>
        <v>0</v>
      </c>
      <c r="I57" s="83"/>
      <c r="J57" s="84">
        <v>9000</v>
      </c>
      <c r="K57" s="86">
        <f t="shared" si="0"/>
        <v>0</v>
      </c>
    </row>
    <row r="58" spans="1:11" s="87" customFormat="1" x14ac:dyDescent="0.3">
      <c r="A58" s="92"/>
      <c r="B58" s="92"/>
      <c r="C58" s="84">
        <f t="shared" si="1"/>
        <v>0</v>
      </c>
      <c r="D58" s="83"/>
      <c r="E58" s="83"/>
      <c r="F58" s="83"/>
      <c r="G58" s="85">
        <v>7000</v>
      </c>
      <c r="H58" s="85">
        <f t="shared" si="3"/>
        <v>0</v>
      </c>
      <c r="I58" s="83"/>
      <c r="J58" s="84">
        <v>9000</v>
      </c>
      <c r="K58" s="86">
        <f t="shared" si="0"/>
        <v>0</v>
      </c>
    </row>
    <row r="59" spans="1:11" s="87" customFormat="1" x14ac:dyDescent="0.3">
      <c r="A59" s="92"/>
      <c r="B59" s="92"/>
      <c r="C59" s="84">
        <f t="shared" si="1"/>
        <v>0</v>
      </c>
      <c r="D59" s="83"/>
      <c r="E59" s="83"/>
      <c r="F59" s="83"/>
      <c r="G59" s="85">
        <v>7000</v>
      </c>
      <c r="H59" s="85">
        <f t="shared" si="3"/>
        <v>0</v>
      </c>
      <c r="I59" s="83"/>
      <c r="J59" s="84">
        <v>9000</v>
      </c>
      <c r="K59" s="86">
        <f t="shared" si="0"/>
        <v>0</v>
      </c>
    </row>
    <row r="60" spans="1:11" s="87" customFormat="1" x14ac:dyDescent="0.3">
      <c r="A60" s="83"/>
      <c r="B60" s="83"/>
      <c r="C60" s="84">
        <f t="shared" si="1"/>
        <v>0</v>
      </c>
      <c r="D60" s="83"/>
      <c r="E60" s="83"/>
      <c r="F60" s="83"/>
      <c r="G60" s="85">
        <v>7000</v>
      </c>
      <c r="H60" s="85">
        <f t="shared" si="3"/>
        <v>0</v>
      </c>
      <c r="I60" s="83"/>
      <c r="J60" s="84">
        <v>9000</v>
      </c>
      <c r="K60" s="86">
        <f t="shared" si="0"/>
        <v>0</v>
      </c>
    </row>
    <row r="61" spans="1:11" s="87" customFormat="1" x14ac:dyDescent="0.3">
      <c r="A61" s="83"/>
      <c r="B61" s="83"/>
      <c r="C61" s="84">
        <f t="shared" si="1"/>
        <v>0</v>
      </c>
      <c r="D61" s="83"/>
      <c r="E61" s="83"/>
      <c r="F61" s="83"/>
      <c r="G61" s="85">
        <v>7000</v>
      </c>
      <c r="H61" s="85">
        <f t="shared" si="3"/>
        <v>0</v>
      </c>
      <c r="I61" s="83"/>
      <c r="J61" s="84">
        <v>9000</v>
      </c>
      <c r="K61" s="86">
        <f t="shared" si="0"/>
        <v>0</v>
      </c>
    </row>
    <row r="62" spans="1:11" s="87" customFormat="1" x14ac:dyDescent="0.3">
      <c r="A62" s="83"/>
      <c r="B62" s="83"/>
      <c r="C62" s="84">
        <f t="shared" si="1"/>
        <v>0</v>
      </c>
      <c r="D62" s="83"/>
      <c r="E62" s="83"/>
      <c r="F62" s="83"/>
      <c r="G62" s="85">
        <v>7000</v>
      </c>
      <c r="H62" s="85">
        <f t="shared" si="3"/>
        <v>0</v>
      </c>
      <c r="I62" s="83"/>
      <c r="J62" s="84">
        <v>9000</v>
      </c>
      <c r="K62" s="86">
        <f t="shared" si="0"/>
        <v>0</v>
      </c>
    </row>
    <row r="63" spans="1:11" s="87" customFormat="1" x14ac:dyDescent="0.3">
      <c r="A63" s="83"/>
      <c r="B63" s="83"/>
      <c r="C63" s="84">
        <f t="shared" si="1"/>
        <v>0</v>
      </c>
      <c r="D63" s="83"/>
      <c r="E63" s="83"/>
      <c r="F63" s="83"/>
      <c r="G63" s="85">
        <v>7000</v>
      </c>
      <c r="H63" s="85">
        <f t="shared" si="3"/>
        <v>0</v>
      </c>
      <c r="I63" s="83"/>
      <c r="J63" s="84">
        <v>9000</v>
      </c>
      <c r="K63" s="86">
        <f t="shared" si="0"/>
        <v>0</v>
      </c>
    </row>
    <row r="64" spans="1:11" s="87" customFormat="1" x14ac:dyDescent="0.3">
      <c r="A64" s="83"/>
      <c r="B64" s="83"/>
      <c r="C64" s="84">
        <f t="shared" si="1"/>
        <v>0</v>
      </c>
      <c r="D64" s="83"/>
      <c r="E64" s="83"/>
      <c r="F64" s="83"/>
      <c r="G64" s="85">
        <v>7000</v>
      </c>
      <c r="H64" s="85">
        <f t="shared" si="3"/>
        <v>0</v>
      </c>
      <c r="I64" s="83"/>
      <c r="J64" s="84">
        <v>9000</v>
      </c>
      <c r="K64" s="86">
        <f t="shared" si="0"/>
        <v>0</v>
      </c>
    </row>
    <row r="65" spans="1:11" s="87" customFormat="1" x14ac:dyDescent="0.3">
      <c r="A65" s="83"/>
      <c r="B65" s="83"/>
      <c r="C65" s="84">
        <f t="shared" si="1"/>
        <v>0</v>
      </c>
      <c r="D65" s="83"/>
      <c r="E65" s="83"/>
      <c r="F65" s="83"/>
      <c r="G65" s="85">
        <v>7000</v>
      </c>
      <c r="H65" s="85">
        <f t="shared" si="3"/>
        <v>0</v>
      </c>
      <c r="I65" s="83"/>
      <c r="J65" s="84">
        <v>9000</v>
      </c>
      <c r="K65" s="86">
        <f t="shared" si="0"/>
        <v>0</v>
      </c>
    </row>
    <row r="66" spans="1:11" s="87" customFormat="1" x14ac:dyDescent="0.3">
      <c r="A66" s="83"/>
      <c r="B66" s="83"/>
      <c r="C66" s="84">
        <f t="shared" si="1"/>
        <v>0</v>
      </c>
      <c r="D66" s="83"/>
      <c r="E66" s="83"/>
      <c r="F66" s="83"/>
      <c r="G66" s="85">
        <v>7000</v>
      </c>
      <c r="H66" s="85">
        <f t="shared" si="3"/>
        <v>0</v>
      </c>
      <c r="I66" s="83"/>
      <c r="J66" s="84">
        <v>9000</v>
      </c>
      <c r="K66" s="86">
        <f t="shared" si="0"/>
        <v>0</v>
      </c>
    </row>
    <row r="67" spans="1:11" s="87" customFormat="1" x14ac:dyDescent="0.3">
      <c r="A67" s="83"/>
      <c r="B67" s="83"/>
      <c r="C67" s="84">
        <f t="shared" si="1"/>
        <v>0</v>
      </c>
      <c r="D67" s="83"/>
      <c r="E67" s="83"/>
      <c r="F67" s="83"/>
      <c r="G67" s="85">
        <v>7000</v>
      </c>
      <c r="H67" s="85">
        <f t="shared" si="3"/>
        <v>0</v>
      </c>
      <c r="I67" s="83"/>
      <c r="J67" s="84">
        <v>9000</v>
      </c>
      <c r="K67" s="86">
        <f t="shared" si="0"/>
        <v>0</v>
      </c>
    </row>
    <row r="68" spans="1:11" s="87" customFormat="1" x14ac:dyDescent="0.3">
      <c r="A68" s="83"/>
      <c r="B68" s="83"/>
      <c r="C68" s="84">
        <f t="shared" si="1"/>
        <v>0</v>
      </c>
      <c r="D68" s="83"/>
      <c r="E68" s="83"/>
      <c r="F68" s="83"/>
      <c r="G68" s="85">
        <v>7000</v>
      </c>
      <c r="H68" s="85">
        <f t="shared" si="3"/>
        <v>0</v>
      </c>
      <c r="I68" s="83"/>
      <c r="J68" s="84">
        <v>9000</v>
      </c>
      <c r="K68" s="86">
        <f t="shared" si="0"/>
        <v>0</v>
      </c>
    </row>
    <row r="69" spans="1:11" s="87" customFormat="1" x14ac:dyDescent="0.3">
      <c r="A69" s="83"/>
      <c r="B69" s="83"/>
      <c r="C69" s="84">
        <f t="shared" si="1"/>
        <v>0</v>
      </c>
      <c r="D69" s="83"/>
      <c r="E69" s="83"/>
      <c r="F69" s="83"/>
      <c r="G69" s="85">
        <v>7000</v>
      </c>
      <c r="H69" s="85">
        <f t="shared" si="3"/>
        <v>0</v>
      </c>
      <c r="I69" s="83"/>
      <c r="J69" s="84">
        <v>9000</v>
      </c>
      <c r="K69" s="86">
        <f t="shared" si="0"/>
        <v>0</v>
      </c>
    </row>
    <row r="70" spans="1:11" s="87" customFormat="1" x14ac:dyDescent="0.3">
      <c r="C70" s="93"/>
      <c r="G70" s="93"/>
      <c r="H70" s="93"/>
      <c r="J70" s="93"/>
      <c r="K70" s="93"/>
    </row>
    <row r="71" spans="1:11" s="87" customFormat="1" x14ac:dyDescent="0.3">
      <c r="B71" s="114"/>
      <c r="C71" s="115"/>
      <c r="D71" s="114"/>
      <c r="E71" s="114"/>
      <c r="F71" s="114"/>
      <c r="G71" s="115"/>
      <c r="H71" s="115"/>
      <c r="I71" s="114"/>
      <c r="J71" s="115"/>
      <c r="K71" s="115"/>
    </row>
    <row r="72" spans="1:11" ht="15" thickBot="1" x14ac:dyDescent="0.35">
      <c r="B72" s="116"/>
      <c r="C72" s="117"/>
      <c r="D72" s="118"/>
      <c r="E72" s="81"/>
      <c r="F72" s="81"/>
      <c r="G72" s="119"/>
      <c r="H72" s="120"/>
      <c r="I72" s="121"/>
      <c r="J72" s="120"/>
      <c r="K72" s="120"/>
    </row>
    <row r="73" spans="1:11" x14ac:dyDescent="0.3">
      <c r="B73" s="163" t="s">
        <v>27</v>
      </c>
      <c r="C73" s="163"/>
      <c r="D73" s="118"/>
      <c r="E73" s="118"/>
      <c r="F73" s="122"/>
      <c r="G73" s="119"/>
      <c r="H73" s="163" t="s">
        <v>29</v>
      </c>
      <c r="I73" s="163"/>
      <c r="J73" s="163"/>
      <c r="K73" s="163"/>
    </row>
    <row r="74" spans="1:11" x14ac:dyDescent="0.3">
      <c r="B74" s="164" t="s">
        <v>28</v>
      </c>
      <c r="C74" s="164"/>
      <c r="D74" s="118"/>
      <c r="E74" s="81"/>
      <c r="F74" s="81"/>
      <c r="G74" s="119"/>
      <c r="H74" s="165" t="s">
        <v>30</v>
      </c>
      <c r="I74" s="165"/>
      <c r="J74" s="165"/>
      <c r="K74" s="165"/>
    </row>
    <row r="75" spans="1:11" x14ac:dyDescent="0.3">
      <c r="B75" s="81"/>
      <c r="C75" s="122"/>
      <c r="D75" s="118"/>
      <c r="E75" s="81"/>
      <c r="F75" s="81"/>
      <c r="G75" s="119"/>
      <c r="H75" s="118"/>
      <c r="I75" s="122"/>
      <c r="J75" s="119"/>
      <c r="K75" s="119"/>
    </row>
    <row r="76" spans="1:11" x14ac:dyDescent="0.3">
      <c r="C76" s="45"/>
      <c r="D76" s="44"/>
    </row>
    <row r="77" spans="1:11" x14ac:dyDescent="0.3">
      <c r="G77" s="78"/>
    </row>
  </sheetData>
  <autoFilter ref="A5:K69"/>
  <mergeCells count="9">
    <mergeCell ref="B73:C73"/>
    <mergeCell ref="B74:C74"/>
    <mergeCell ref="H73:K73"/>
    <mergeCell ref="H74:K74"/>
    <mergeCell ref="N7:O7"/>
    <mergeCell ref="N5:O5"/>
    <mergeCell ref="F4:H4"/>
    <mergeCell ref="I4:K4"/>
    <mergeCell ref="B2:K2"/>
  </mergeCells>
  <phoneticPr fontId="18" type="noConversion"/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tabColor theme="5" tint="-0.499984740745262"/>
  </sheetPr>
  <dimension ref="B1:G69"/>
  <sheetViews>
    <sheetView zoomScale="120" zoomScaleNormal="120" workbookViewId="0">
      <selection activeCell="F6" sqref="F6"/>
    </sheetView>
  </sheetViews>
  <sheetFormatPr baseColWidth="10" defaultColWidth="11.44140625" defaultRowHeight="14.4" x14ac:dyDescent="0.3"/>
  <cols>
    <col min="1" max="1" width="11.44140625" style="21"/>
    <col min="2" max="2" width="12.6640625" style="21" customWidth="1"/>
    <col min="3" max="3" width="32.44140625" style="1" customWidth="1"/>
    <col min="4" max="4" width="13.6640625" style="1" customWidth="1"/>
    <col min="5" max="5" width="18" style="21" customWidth="1"/>
    <col min="6" max="6" width="18.109375" style="21" customWidth="1"/>
    <col min="7" max="7" width="25.6640625" style="21" bestFit="1" customWidth="1"/>
    <col min="8" max="16384" width="11.44140625" style="21"/>
  </cols>
  <sheetData>
    <row r="1" spans="2:6" ht="18" customHeight="1" thickBot="1" x14ac:dyDescent="0.35">
      <c r="C1" s="21"/>
    </row>
    <row r="2" spans="2:6" ht="27" customHeight="1" thickBot="1" x14ac:dyDescent="0.35">
      <c r="B2" s="167" t="s">
        <v>20</v>
      </c>
      <c r="C2" s="168"/>
      <c r="D2" s="168"/>
      <c r="E2" s="168"/>
      <c r="F2" s="169"/>
    </row>
    <row r="3" spans="2:6" ht="12" customHeight="1" thickBot="1" x14ac:dyDescent="0.35">
      <c r="C3" s="21"/>
    </row>
    <row r="4" spans="2:6" ht="45" customHeight="1" x14ac:dyDescent="0.3">
      <c r="B4" s="99" t="s">
        <v>12</v>
      </c>
      <c r="C4" s="100" t="s">
        <v>9</v>
      </c>
      <c r="D4" s="100" t="s">
        <v>13</v>
      </c>
      <c r="E4" s="100" t="s">
        <v>0</v>
      </c>
      <c r="F4" s="101" t="s">
        <v>1</v>
      </c>
    </row>
    <row r="5" spans="2:6" x14ac:dyDescent="0.3">
      <c r="B5" s="5"/>
      <c r="C5" s="5"/>
      <c r="D5" s="106"/>
      <c r="E5" s="6"/>
      <c r="F5" s="6"/>
    </row>
    <row r="6" spans="2:6" x14ac:dyDescent="0.3">
      <c r="B6" s="5"/>
      <c r="C6" s="5"/>
      <c r="D6" s="107"/>
      <c r="E6" s="6"/>
      <c r="F6" s="6"/>
    </row>
    <row r="7" spans="2:6" x14ac:dyDescent="0.3">
      <c r="B7" s="5"/>
      <c r="C7" s="5"/>
      <c r="D7" s="107"/>
      <c r="E7" s="6"/>
      <c r="F7" s="6"/>
    </row>
    <row r="8" spans="2:6" x14ac:dyDescent="0.3">
      <c r="B8" s="5"/>
      <c r="C8" s="5"/>
      <c r="D8" s="107"/>
      <c r="E8" s="6"/>
      <c r="F8" s="6"/>
    </row>
    <row r="9" spans="2:6" x14ac:dyDescent="0.3">
      <c r="B9" s="5"/>
      <c r="C9" s="5"/>
      <c r="D9" s="107"/>
      <c r="E9" s="6"/>
      <c r="F9" s="6"/>
    </row>
    <row r="10" spans="2:6" ht="15.75" customHeight="1" x14ac:dyDescent="0.3">
      <c r="B10" s="7"/>
      <c r="C10" s="5"/>
      <c r="D10" s="107"/>
      <c r="E10" s="6"/>
      <c r="F10" s="6"/>
    </row>
    <row r="11" spans="2:6" x14ac:dyDescent="0.3">
      <c r="B11" s="7"/>
      <c r="C11" s="5"/>
      <c r="D11" s="107"/>
      <c r="E11" s="6"/>
      <c r="F11" s="6"/>
    </row>
    <row r="12" spans="2:6" x14ac:dyDescent="0.3">
      <c r="B12" s="5"/>
      <c r="C12" s="5"/>
      <c r="D12" s="107"/>
      <c r="E12" s="6"/>
      <c r="F12" s="6"/>
    </row>
    <row r="13" spans="2:6" x14ac:dyDescent="0.3">
      <c r="B13" s="5"/>
      <c r="C13" s="5"/>
      <c r="D13" s="107"/>
      <c r="E13" s="6"/>
      <c r="F13" s="6"/>
    </row>
    <row r="14" spans="2:6" x14ac:dyDescent="0.3">
      <c r="B14" s="7"/>
      <c r="C14" s="5"/>
      <c r="D14" s="107"/>
      <c r="E14" s="6"/>
      <c r="F14" s="6"/>
    </row>
    <row r="15" spans="2:6" ht="15" customHeight="1" x14ac:dyDescent="0.3">
      <c r="B15" s="5"/>
      <c r="C15" s="5"/>
      <c r="D15" s="107"/>
      <c r="E15" s="6"/>
      <c r="F15" s="6"/>
    </row>
    <row r="16" spans="2:6" x14ac:dyDescent="0.3">
      <c r="B16" s="5"/>
      <c r="C16" s="5"/>
      <c r="D16" s="107"/>
      <c r="E16" s="6"/>
      <c r="F16" s="6"/>
    </row>
    <row r="17" spans="2:6" x14ac:dyDescent="0.3">
      <c r="B17" s="5"/>
      <c r="C17" s="5"/>
      <c r="D17" s="107"/>
      <c r="E17" s="6"/>
      <c r="F17" s="6"/>
    </row>
    <row r="18" spans="2:6" x14ac:dyDescent="0.3">
      <c r="B18" s="5"/>
      <c r="C18" s="5"/>
      <c r="D18" s="107"/>
      <c r="E18" s="6"/>
      <c r="F18" s="6"/>
    </row>
    <row r="19" spans="2:6" x14ac:dyDescent="0.3">
      <c r="B19" s="5"/>
      <c r="C19" s="5"/>
      <c r="D19" s="107"/>
      <c r="E19" s="6"/>
      <c r="F19" s="6"/>
    </row>
    <row r="20" spans="2:6" x14ac:dyDescent="0.3">
      <c r="B20" s="5"/>
      <c r="C20" s="5"/>
      <c r="D20" s="107"/>
      <c r="E20" s="6"/>
      <c r="F20" s="6"/>
    </row>
    <row r="21" spans="2:6" x14ac:dyDescent="0.3">
      <c r="B21" s="7"/>
      <c r="C21" s="5"/>
      <c r="D21" s="107"/>
      <c r="E21" s="6"/>
      <c r="F21" s="6"/>
    </row>
    <row r="22" spans="2:6" x14ac:dyDescent="0.3">
      <c r="B22" s="5"/>
      <c r="C22" s="5"/>
      <c r="D22" s="107"/>
      <c r="E22" s="6"/>
      <c r="F22" s="6"/>
    </row>
    <row r="23" spans="2:6" x14ac:dyDescent="0.3">
      <c r="B23" s="5"/>
      <c r="C23" s="5"/>
      <c r="D23" s="107"/>
      <c r="E23" s="6"/>
      <c r="F23" s="6"/>
    </row>
    <row r="24" spans="2:6" x14ac:dyDescent="0.3">
      <c r="B24" s="5"/>
      <c r="C24" s="5"/>
      <c r="D24" s="107"/>
      <c r="E24" s="6"/>
      <c r="F24" s="6"/>
    </row>
    <row r="25" spans="2:6" x14ac:dyDescent="0.3">
      <c r="B25" s="5"/>
      <c r="C25" s="5"/>
      <c r="D25" s="107"/>
      <c r="E25" s="6"/>
      <c r="F25" s="6"/>
    </row>
    <row r="26" spans="2:6" x14ac:dyDescent="0.3">
      <c r="B26" s="7"/>
      <c r="C26" s="5"/>
      <c r="D26" s="107"/>
      <c r="E26" s="6"/>
      <c r="F26" s="6"/>
    </row>
    <row r="27" spans="2:6" x14ac:dyDescent="0.3">
      <c r="B27" s="5"/>
      <c r="C27" s="5"/>
      <c r="D27" s="108"/>
      <c r="E27" s="6"/>
      <c r="F27" s="6"/>
    </row>
    <row r="28" spans="2:6" x14ac:dyDescent="0.3">
      <c r="B28" s="7"/>
      <c r="C28" s="5"/>
      <c r="D28" s="108"/>
      <c r="E28" s="6"/>
      <c r="F28" s="6"/>
    </row>
    <row r="29" spans="2:6" x14ac:dyDescent="0.3">
      <c r="B29" s="7"/>
      <c r="C29" s="5"/>
      <c r="D29" s="108"/>
      <c r="E29" s="6"/>
      <c r="F29" s="6"/>
    </row>
    <row r="30" spans="2:6" x14ac:dyDescent="0.3">
      <c r="B30" s="7"/>
      <c r="C30" s="5"/>
      <c r="D30" s="108"/>
      <c r="E30" s="6"/>
      <c r="F30" s="6"/>
    </row>
    <row r="31" spans="2:6" x14ac:dyDescent="0.3">
      <c r="B31" s="5"/>
      <c r="C31" s="5"/>
      <c r="D31" s="108"/>
      <c r="E31" s="6"/>
      <c r="F31" s="6"/>
    </row>
    <row r="32" spans="2:6" ht="15" customHeight="1" x14ac:dyDescent="0.3">
      <c r="B32" s="7"/>
      <c r="C32" s="5"/>
      <c r="D32" s="108"/>
      <c r="E32" s="6"/>
      <c r="F32" s="6"/>
    </row>
    <row r="33" spans="2:6" x14ac:dyDescent="0.3">
      <c r="B33" s="7"/>
      <c r="C33" s="5"/>
      <c r="D33" s="107"/>
      <c r="E33" s="6"/>
      <c r="F33" s="6"/>
    </row>
    <row r="34" spans="2:6" x14ac:dyDescent="0.3">
      <c r="B34" s="5"/>
      <c r="C34" s="5"/>
      <c r="D34" s="107"/>
      <c r="E34" s="6"/>
      <c r="F34" s="6"/>
    </row>
    <row r="35" spans="2:6" x14ac:dyDescent="0.3">
      <c r="B35" s="5"/>
      <c r="C35" s="5"/>
      <c r="D35" s="107"/>
      <c r="E35" s="6"/>
      <c r="F35" s="6"/>
    </row>
    <row r="36" spans="2:6" x14ac:dyDescent="0.3">
      <c r="B36" s="5"/>
      <c r="C36" s="5"/>
      <c r="D36" s="107"/>
      <c r="E36" s="6"/>
      <c r="F36" s="6"/>
    </row>
    <row r="37" spans="2:6" ht="15" customHeight="1" x14ac:dyDescent="0.3">
      <c r="B37" s="5"/>
      <c r="C37" s="5"/>
      <c r="D37" s="107"/>
      <c r="E37" s="6"/>
      <c r="F37" s="6"/>
    </row>
    <row r="38" spans="2:6" ht="14.25" customHeight="1" x14ac:dyDescent="0.3">
      <c r="B38" s="5"/>
      <c r="C38" s="5"/>
      <c r="D38" s="107"/>
      <c r="E38" s="6"/>
      <c r="F38" s="6"/>
    </row>
    <row r="39" spans="2:6" x14ac:dyDescent="0.3">
      <c r="B39" s="5"/>
      <c r="C39" s="5"/>
      <c r="D39" s="107"/>
      <c r="E39" s="6"/>
      <c r="F39" s="6"/>
    </row>
    <row r="40" spans="2:6" x14ac:dyDescent="0.3">
      <c r="B40" s="5"/>
      <c r="C40" s="5"/>
      <c r="D40" s="107"/>
      <c r="E40" s="6"/>
      <c r="F40" s="6"/>
    </row>
    <row r="41" spans="2:6" x14ac:dyDescent="0.3">
      <c r="B41" s="5"/>
      <c r="C41" s="5"/>
      <c r="D41" s="109"/>
      <c r="E41" s="6"/>
      <c r="F41" s="6"/>
    </row>
    <row r="42" spans="2:6" x14ac:dyDescent="0.3">
      <c r="B42" s="5"/>
      <c r="C42" s="5"/>
      <c r="D42" s="109"/>
      <c r="E42" s="6"/>
      <c r="F42" s="6"/>
    </row>
    <row r="43" spans="2:6" x14ac:dyDescent="0.3">
      <c r="B43" s="7"/>
      <c r="C43" s="5"/>
      <c r="D43" s="109"/>
      <c r="E43" s="6"/>
      <c r="F43" s="6"/>
    </row>
    <row r="44" spans="2:6" x14ac:dyDescent="0.3">
      <c r="B44" s="5"/>
      <c r="C44" s="5"/>
      <c r="D44" s="110"/>
      <c r="E44" s="6"/>
      <c r="F44" s="6"/>
    </row>
    <row r="45" spans="2:6" x14ac:dyDescent="0.3">
      <c r="B45" s="5"/>
      <c r="C45" s="5"/>
      <c r="D45" s="110"/>
      <c r="E45" s="6"/>
      <c r="F45" s="6"/>
    </row>
    <row r="46" spans="2:6" x14ac:dyDescent="0.3">
      <c r="B46" s="7"/>
      <c r="C46" s="5"/>
      <c r="D46" s="110"/>
      <c r="E46" s="6"/>
      <c r="F46" s="6"/>
    </row>
    <row r="47" spans="2:6" x14ac:dyDescent="0.3">
      <c r="B47" s="5"/>
      <c r="C47" s="5"/>
      <c r="D47" s="110"/>
      <c r="E47" s="6"/>
      <c r="F47" s="6"/>
    </row>
    <row r="48" spans="2:6" x14ac:dyDescent="0.3">
      <c r="B48" s="5"/>
      <c r="C48" s="5"/>
      <c r="D48" s="110"/>
      <c r="E48" s="6"/>
      <c r="F48" s="6"/>
    </row>
    <row r="49" spans="2:7" x14ac:dyDescent="0.3">
      <c r="B49" s="5"/>
      <c r="C49" s="5"/>
      <c r="D49" s="110"/>
      <c r="E49" s="6"/>
      <c r="F49" s="6"/>
    </row>
    <row r="50" spans="2:7" x14ac:dyDescent="0.3">
      <c r="B50" s="5"/>
      <c r="C50" s="5"/>
      <c r="D50" s="110"/>
      <c r="E50" s="6"/>
      <c r="F50" s="6"/>
      <c r="G50" s="2"/>
    </row>
    <row r="51" spans="2:7" ht="15.75" customHeight="1" x14ac:dyDescent="0.3">
      <c r="B51" s="7"/>
      <c r="C51" s="5"/>
      <c r="D51" s="110"/>
      <c r="E51" s="6"/>
      <c r="F51" s="6"/>
      <c r="G51" s="20"/>
    </row>
    <row r="52" spans="2:7" ht="15.75" customHeight="1" x14ac:dyDescent="0.3">
      <c r="B52" s="7"/>
      <c r="C52" s="5"/>
      <c r="D52" s="110"/>
      <c r="E52" s="6"/>
      <c r="F52" s="6"/>
      <c r="G52" s="20"/>
    </row>
    <row r="53" spans="2:7" x14ac:dyDescent="0.3">
      <c r="B53" s="5"/>
      <c r="C53" s="5"/>
      <c r="D53" s="110"/>
      <c r="E53" s="6"/>
      <c r="F53" s="6"/>
      <c r="G53" s="2"/>
    </row>
    <row r="54" spans="2:7" x14ac:dyDescent="0.3">
      <c r="B54" s="7"/>
      <c r="C54" s="5"/>
      <c r="D54" s="110"/>
      <c r="E54" s="6"/>
      <c r="F54" s="6"/>
    </row>
    <row r="55" spans="2:7" x14ac:dyDescent="0.3">
      <c r="B55" s="7"/>
      <c r="C55" s="5"/>
      <c r="D55" s="110"/>
      <c r="E55" s="6"/>
      <c r="F55" s="6"/>
    </row>
    <row r="56" spans="2:7" x14ac:dyDescent="0.3">
      <c r="B56" s="7"/>
      <c r="C56" s="5"/>
      <c r="D56" s="110"/>
      <c r="E56" s="6"/>
      <c r="F56" s="6"/>
    </row>
    <row r="57" spans="2:7" x14ac:dyDescent="0.3">
      <c r="B57" s="5"/>
      <c r="C57" s="5"/>
      <c r="D57" s="110"/>
      <c r="E57" s="6"/>
      <c r="F57" s="6"/>
    </row>
    <row r="58" spans="2:7" ht="15" thickBot="1" x14ac:dyDescent="0.35">
      <c r="B58" s="2"/>
      <c r="C58" s="111"/>
      <c r="D58" s="112">
        <f>SUM(D5:D57)</f>
        <v>0</v>
      </c>
      <c r="E58" s="166"/>
      <c r="F58" s="166"/>
    </row>
    <row r="59" spans="2:7" ht="15.6" customHeight="1" x14ac:dyDescent="0.3">
      <c r="C59" s="45"/>
      <c r="D59" s="45"/>
      <c r="E59" s="45"/>
      <c r="F59" s="45"/>
    </row>
    <row r="60" spans="2:7" ht="15.6" customHeight="1" x14ac:dyDescent="0.3">
      <c r="C60" s="45"/>
      <c r="D60" s="45"/>
      <c r="E60" s="45"/>
      <c r="F60" s="45"/>
    </row>
    <row r="61" spans="2:7" ht="15" thickBot="1" x14ac:dyDescent="0.35">
      <c r="C61" s="117"/>
      <c r="D61" s="123"/>
      <c r="E61" s="117"/>
      <c r="F61" s="117"/>
    </row>
    <row r="62" spans="2:7" x14ac:dyDescent="0.3">
      <c r="C62" s="124" t="s">
        <v>27</v>
      </c>
      <c r="D62" s="123"/>
      <c r="E62" s="164" t="s">
        <v>29</v>
      </c>
      <c r="F62" s="164"/>
    </row>
    <row r="63" spans="2:7" x14ac:dyDescent="0.3">
      <c r="C63" s="124" t="s">
        <v>28</v>
      </c>
      <c r="D63" s="123"/>
      <c r="E63" s="164" t="s">
        <v>30</v>
      </c>
      <c r="F63" s="164"/>
    </row>
    <row r="64" spans="2:7" x14ac:dyDescent="0.3">
      <c r="C64" s="123"/>
      <c r="D64" s="123"/>
      <c r="E64" s="123"/>
      <c r="F64" s="123"/>
    </row>
    <row r="65" spans="3:6" x14ac:dyDescent="0.3">
      <c r="C65" s="103"/>
      <c r="D65" s="103"/>
      <c r="E65" s="103"/>
      <c r="F65" s="103"/>
    </row>
    <row r="66" spans="3:6" x14ac:dyDescent="0.3">
      <c r="C66" s="104"/>
      <c r="D66" s="104"/>
      <c r="E66" s="103"/>
      <c r="F66" s="103"/>
    </row>
    <row r="67" spans="3:6" x14ac:dyDescent="0.3">
      <c r="C67" s="44"/>
      <c r="D67" s="44"/>
      <c r="E67" s="45"/>
      <c r="F67" s="45"/>
    </row>
    <row r="68" spans="3:6" x14ac:dyDescent="0.3">
      <c r="C68" s="44"/>
      <c r="D68" s="44"/>
      <c r="E68" s="45"/>
      <c r="F68" s="45"/>
    </row>
    <row r="69" spans="3:6" x14ac:dyDescent="0.3">
      <c r="C69" s="44"/>
      <c r="D69" s="44"/>
      <c r="E69" s="45"/>
      <c r="F69" s="45"/>
    </row>
  </sheetData>
  <autoFilter ref="B4:F58"/>
  <mergeCells count="4">
    <mergeCell ref="E58:F58"/>
    <mergeCell ref="B2:F2"/>
    <mergeCell ref="E62:F62"/>
    <mergeCell ref="E63:F63"/>
  </mergeCells>
  <pageMargins left="1.8897637795275593" right="0" top="0.59055118110236227" bottom="0.59055118110236227" header="0.31496062992125984" footer="0.31496062992125984"/>
  <pageSetup paperSize="5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1"/>
  <dimension ref="A1:N77"/>
  <sheetViews>
    <sheetView zoomScaleNormal="100" workbookViewId="0">
      <pane xSplit="1" topLeftCell="B1" activePane="topRight" state="frozen"/>
      <selection pane="topRight" activeCell="H87" sqref="H87"/>
    </sheetView>
  </sheetViews>
  <sheetFormatPr baseColWidth="10" defaultRowHeight="14.4" x14ac:dyDescent="0.3"/>
  <cols>
    <col min="1" max="1" width="11.44140625" style="78"/>
    <col min="2" max="2" width="31.109375" style="78" customWidth="1"/>
    <col min="3" max="3" width="13.33203125" style="79" customWidth="1"/>
    <col min="4" max="4" width="11.44140625" style="78" customWidth="1"/>
    <col min="5" max="5" width="11.109375" style="78" customWidth="1"/>
    <col min="6" max="6" width="11.5546875" style="78" customWidth="1"/>
    <col min="7" max="7" width="8.6640625" style="79" customWidth="1"/>
    <col min="8" max="8" width="15.109375" style="79" customWidth="1"/>
    <col min="9" max="9" width="13.6640625" style="80" customWidth="1"/>
    <col min="10" max="10" width="8.6640625" style="79" customWidth="1"/>
    <col min="11" max="11" width="10.44140625" style="79" customWidth="1"/>
    <col min="12" max="249" width="11.44140625" style="78"/>
    <col min="250" max="250" width="30.33203125" style="78" customWidth="1"/>
    <col min="251" max="251" width="10.44140625" style="78" customWidth="1"/>
    <col min="252" max="253" width="11.44140625" style="78"/>
    <col min="254" max="254" width="10.33203125" style="78" customWidth="1"/>
    <col min="255" max="255" width="9.5546875" style="78" customWidth="1"/>
    <col min="256" max="256" width="13.109375" style="78" customWidth="1"/>
    <col min="257" max="257" width="9.88671875" style="78" customWidth="1"/>
    <col min="258" max="258" width="9.109375" style="78" customWidth="1"/>
    <col min="259" max="260" width="13.88671875" style="78" customWidth="1"/>
    <col min="261" max="261" width="10.5546875" style="78" customWidth="1"/>
    <col min="262" max="262" width="15.109375" style="78" customWidth="1"/>
    <col min="263" max="263" width="20.44140625" style="78" customWidth="1"/>
    <col min="264" max="505" width="11.44140625" style="78"/>
    <col min="506" max="506" width="30.33203125" style="78" customWidth="1"/>
    <col min="507" max="507" width="10.44140625" style="78" customWidth="1"/>
    <col min="508" max="509" width="11.44140625" style="78"/>
    <col min="510" max="510" width="10.33203125" style="78" customWidth="1"/>
    <col min="511" max="511" width="9.5546875" style="78" customWidth="1"/>
    <col min="512" max="512" width="13.109375" style="78" customWidth="1"/>
    <col min="513" max="513" width="9.88671875" style="78" customWidth="1"/>
    <col min="514" max="514" width="9.109375" style="78" customWidth="1"/>
    <col min="515" max="516" width="13.88671875" style="78" customWidth="1"/>
    <col min="517" max="517" width="10.5546875" style="78" customWidth="1"/>
    <col min="518" max="518" width="15.109375" style="78" customWidth="1"/>
    <col min="519" max="519" width="20.44140625" style="78" customWidth="1"/>
    <col min="520" max="761" width="11.44140625" style="78"/>
    <col min="762" max="762" width="30.33203125" style="78" customWidth="1"/>
    <col min="763" max="763" width="10.44140625" style="78" customWidth="1"/>
    <col min="764" max="765" width="11.44140625" style="78"/>
    <col min="766" max="766" width="10.33203125" style="78" customWidth="1"/>
    <col min="767" max="767" width="9.5546875" style="78" customWidth="1"/>
    <col min="768" max="768" width="13.109375" style="78" customWidth="1"/>
    <col min="769" max="769" width="9.88671875" style="78" customWidth="1"/>
    <col min="770" max="770" width="9.109375" style="78" customWidth="1"/>
    <col min="771" max="772" width="13.88671875" style="78" customWidth="1"/>
    <col min="773" max="773" width="10.5546875" style="78" customWidth="1"/>
    <col min="774" max="774" width="15.109375" style="78" customWidth="1"/>
    <col min="775" max="775" width="20.44140625" style="78" customWidth="1"/>
    <col min="776" max="1017" width="11.44140625" style="78"/>
    <col min="1018" max="1018" width="30.33203125" style="78" customWidth="1"/>
    <col min="1019" max="1019" width="10.44140625" style="78" customWidth="1"/>
    <col min="1020" max="1021" width="11.44140625" style="78"/>
    <col min="1022" max="1022" width="10.33203125" style="78" customWidth="1"/>
    <col min="1023" max="1023" width="9.5546875" style="78" customWidth="1"/>
    <col min="1024" max="1024" width="13.109375" style="78" customWidth="1"/>
    <col min="1025" max="1025" width="9.88671875" style="78" customWidth="1"/>
    <col min="1026" max="1026" width="9.109375" style="78" customWidth="1"/>
    <col min="1027" max="1028" width="13.88671875" style="78" customWidth="1"/>
    <col min="1029" max="1029" width="10.5546875" style="78" customWidth="1"/>
    <col min="1030" max="1030" width="15.109375" style="78" customWidth="1"/>
    <col min="1031" max="1031" width="20.44140625" style="78" customWidth="1"/>
    <col min="1032" max="1273" width="11.44140625" style="78"/>
    <col min="1274" max="1274" width="30.33203125" style="78" customWidth="1"/>
    <col min="1275" max="1275" width="10.44140625" style="78" customWidth="1"/>
    <col min="1276" max="1277" width="11.44140625" style="78"/>
    <col min="1278" max="1278" width="10.33203125" style="78" customWidth="1"/>
    <col min="1279" max="1279" width="9.5546875" style="78" customWidth="1"/>
    <col min="1280" max="1280" width="13.109375" style="78" customWidth="1"/>
    <col min="1281" max="1281" width="9.88671875" style="78" customWidth="1"/>
    <col min="1282" max="1282" width="9.109375" style="78" customWidth="1"/>
    <col min="1283" max="1284" width="13.88671875" style="78" customWidth="1"/>
    <col min="1285" max="1285" width="10.5546875" style="78" customWidth="1"/>
    <col min="1286" max="1286" width="15.109375" style="78" customWidth="1"/>
    <col min="1287" max="1287" width="20.44140625" style="78" customWidth="1"/>
    <col min="1288" max="1529" width="11.44140625" style="78"/>
    <col min="1530" max="1530" width="30.33203125" style="78" customWidth="1"/>
    <col min="1531" max="1531" width="10.44140625" style="78" customWidth="1"/>
    <col min="1532" max="1533" width="11.44140625" style="78"/>
    <col min="1534" max="1534" width="10.33203125" style="78" customWidth="1"/>
    <col min="1535" max="1535" width="9.5546875" style="78" customWidth="1"/>
    <col min="1536" max="1536" width="13.109375" style="78" customWidth="1"/>
    <col min="1537" max="1537" width="9.88671875" style="78" customWidth="1"/>
    <col min="1538" max="1538" width="9.109375" style="78" customWidth="1"/>
    <col min="1539" max="1540" width="13.88671875" style="78" customWidth="1"/>
    <col min="1541" max="1541" width="10.5546875" style="78" customWidth="1"/>
    <col min="1542" max="1542" width="15.109375" style="78" customWidth="1"/>
    <col min="1543" max="1543" width="20.44140625" style="78" customWidth="1"/>
    <col min="1544" max="1785" width="11.44140625" style="78"/>
    <col min="1786" max="1786" width="30.33203125" style="78" customWidth="1"/>
    <col min="1787" max="1787" width="10.44140625" style="78" customWidth="1"/>
    <col min="1788" max="1789" width="11.44140625" style="78"/>
    <col min="1790" max="1790" width="10.33203125" style="78" customWidth="1"/>
    <col min="1791" max="1791" width="9.5546875" style="78" customWidth="1"/>
    <col min="1792" max="1792" width="13.109375" style="78" customWidth="1"/>
    <col min="1793" max="1793" width="9.88671875" style="78" customWidth="1"/>
    <col min="1794" max="1794" width="9.109375" style="78" customWidth="1"/>
    <col min="1795" max="1796" width="13.88671875" style="78" customWidth="1"/>
    <col min="1797" max="1797" width="10.5546875" style="78" customWidth="1"/>
    <col min="1798" max="1798" width="15.109375" style="78" customWidth="1"/>
    <col min="1799" max="1799" width="20.44140625" style="78" customWidth="1"/>
    <col min="1800" max="2041" width="11.44140625" style="78"/>
    <col min="2042" max="2042" width="30.33203125" style="78" customWidth="1"/>
    <col min="2043" max="2043" width="10.44140625" style="78" customWidth="1"/>
    <col min="2044" max="2045" width="11.44140625" style="78"/>
    <col min="2046" max="2046" width="10.33203125" style="78" customWidth="1"/>
    <col min="2047" max="2047" width="9.5546875" style="78" customWidth="1"/>
    <col min="2048" max="2048" width="13.109375" style="78" customWidth="1"/>
    <col min="2049" max="2049" width="9.88671875" style="78" customWidth="1"/>
    <col min="2050" max="2050" width="9.109375" style="78" customWidth="1"/>
    <col min="2051" max="2052" width="13.88671875" style="78" customWidth="1"/>
    <col min="2053" max="2053" width="10.5546875" style="78" customWidth="1"/>
    <col min="2054" max="2054" width="15.109375" style="78" customWidth="1"/>
    <col min="2055" max="2055" width="20.44140625" style="78" customWidth="1"/>
    <col min="2056" max="2297" width="11.44140625" style="78"/>
    <col min="2298" max="2298" width="30.33203125" style="78" customWidth="1"/>
    <col min="2299" max="2299" width="10.44140625" style="78" customWidth="1"/>
    <col min="2300" max="2301" width="11.44140625" style="78"/>
    <col min="2302" max="2302" width="10.33203125" style="78" customWidth="1"/>
    <col min="2303" max="2303" width="9.5546875" style="78" customWidth="1"/>
    <col min="2304" max="2304" width="13.109375" style="78" customWidth="1"/>
    <col min="2305" max="2305" width="9.88671875" style="78" customWidth="1"/>
    <col min="2306" max="2306" width="9.109375" style="78" customWidth="1"/>
    <col min="2307" max="2308" width="13.88671875" style="78" customWidth="1"/>
    <col min="2309" max="2309" width="10.5546875" style="78" customWidth="1"/>
    <col min="2310" max="2310" width="15.109375" style="78" customWidth="1"/>
    <col min="2311" max="2311" width="20.44140625" style="78" customWidth="1"/>
    <col min="2312" max="2553" width="11.44140625" style="78"/>
    <col min="2554" max="2554" width="30.33203125" style="78" customWidth="1"/>
    <col min="2555" max="2555" width="10.44140625" style="78" customWidth="1"/>
    <col min="2556" max="2557" width="11.44140625" style="78"/>
    <col min="2558" max="2558" width="10.33203125" style="78" customWidth="1"/>
    <col min="2559" max="2559" width="9.5546875" style="78" customWidth="1"/>
    <col min="2560" max="2560" width="13.109375" style="78" customWidth="1"/>
    <col min="2561" max="2561" width="9.88671875" style="78" customWidth="1"/>
    <col min="2562" max="2562" width="9.109375" style="78" customWidth="1"/>
    <col min="2563" max="2564" width="13.88671875" style="78" customWidth="1"/>
    <col min="2565" max="2565" width="10.5546875" style="78" customWidth="1"/>
    <col min="2566" max="2566" width="15.109375" style="78" customWidth="1"/>
    <col min="2567" max="2567" width="20.44140625" style="78" customWidth="1"/>
    <col min="2568" max="2809" width="11.44140625" style="78"/>
    <col min="2810" max="2810" width="30.33203125" style="78" customWidth="1"/>
    <col min="2811" max="2811" width="10.44140625" style="78" customWidth="1"/>
    <col min="2812" max="2813" width="11.44140625" style="78"/>
    <col min="2814" max="2814" width="10.33203125" style="78" customWidth="1"/>
    <col min="2815" max="2815" width="9.5546875" style="78" customWidth="1"/>
    <col min="2816" max="2816" width="13.109375" style="78" customWidth="1"/>
    <col min="2817" max="2817" width="9.88671875" style="78" customWidth="1"/>
    <col min="2818" max="2818" width="9.109375" style="78" customWidth="1"/>
    <col min="2819" max="2820" width="13.88671875" style="78" customWidth="1"/>
    <col min="2821" max="2821" width="10.5546875" style="78" customWidth="1"/>
    <col min="2822" max="2822" width="15.109375" style="78" customWidth="1"/>
    <col min="2823" max="2823" width="20.44140625" style="78" customWidth="1"/>
    <col min="2824" max="3065" width="11.44140625" style="78"/>
    <col min="3066" max="3066" width="30.33203125" style="78" customWidth="1"/>
    <col min="3067" max="3067" width="10.44140625" style="78" customWidth="1"/>
    <col min="3068" max="3069" width="11.44140625" style="78"/>
    <col min="3070" max="3070" width="10.33203125" style="78" customWidth="1"/>
    <col min="3071" max="3071" width="9.5546875" style="78" customWidth="1"/>
    <col min="3072" max="3072" width="13.109375" style="78" customWidth="1"/>
    <col min="3073" max="3073" width="9.88671875" style="78" customWidth="1"/>
    <col min="3074" max="3074" width="9.109375" style="78" customWidth="1"/>
    <col min="3075" max="3076" width="13.88671875" style="78" customWidth="1"/>
    <col min="3077" max="3077" width="10.5546875" style="78" customWidth="1"/>
    <col min="3078" max="3078" width="15.109375" style="78" customWidth="1"/>
    <col min="3079" max="3079" width="20.44140625" style="78" customWidth="1"/>
    <col min="3080" max="3321" width="11.44140625" style="78"/>
    <col min="3322" max="3322" width="30.33203125" style="78" customWidth="1"/>
    <col min="3323" max="3323" width="10.44140625" style="78" customWidth="1"/>
    <col min="3324" max="3325" width="11.44140625" style="78"/>
    <col min="3326" max="3326" width="10.33203125" style="78" customWidth="1"/>
    <col min="3327" max="3327" width="9.5546875" style="78" customWidth="1"/>
    <col min="3328" max="3328" width="13.109375" style="78" customWidth="1"/>
    <col min="3329" max="3329" width="9.88671875" style="78" customWidth="1"/>
    <col min="3330" max="3330" width="9.109375" style="78" customWidth="1"/>
    <col min="3331" max="3332" width="13.88671875" style="78" customWidth="1"/>
    <col min="3333" max="3333" width="10.5546875" style="78" customWidth="1"/>
    <col min="3334" max="3334" width="15.109375" style="78" customWidth="1"/>
    <col min="3335" max="3335" width="20.44140625" style="78" customWidth="1"/>
    <col min="3336" max="3577" width="11.44140625" style="78"/>
    <col min="3578" max="3578" width="30.33203125" style="78" customWidth="1"/>
    <col min="3579" max="3579" width="10.44140625" style="78" customWidth="1"/>
    <col min="3580" max="3581" width="11.44140625" style="78"/>
    <col min="3582" max="3582" width="10.33203125" style="78" customWidth="1"/>
    <col min="3583" max="3583" width="9.5546875" style="78" customWidth="1"/>
    <col min="3584" max="3584" width="13.109375" style="78" customWidth="1"/>
    <col min="3585" max="3585" width="9.88671875" style="78" customWidth="1"/>
    <col min="3586" max="3586" width="9.109375" style="78" customWidth="1"/>
    <col min="3587" max="3588" width="13.88671875" style="78" customWidth="1"/>
    <col min="3589" max="3589" width="10.5546875" style="78" customWidth="1"/>
    <col min="3590" max="3590" width="15.109375" style="78" customWidth="1"/>
    <col min="3591" max="3591" width="20.44140625" style="78" customWidth="1"/>
    <col min="3592" max="3833" width="11.44140625" style="78"/>
    <col min="3834" max="3834" width="30.33203125" style="78" customWidth="1"/>
    <col min="3835" max="3835" width="10.44140625" style="78" customWidth="1"/>
    <col min="3836" max="3837" width="11.44140625" style="78"/>
    <col min="3838" max="3838" width="10.33203125" style="78" customWidth="1"/>
    <col min="3839" max="3839" width="9.5546875" style="78" customWidth="1"/>
    <col min="3840" max="3840" width="13.109375" style="78" customWidth="1"/>
    <col min="3841" max="3841" width="9.88671875" style="78" customWidth="1"/>
    <col min="3842" max="3842" width="9.109375" style="78" customWidth="1"/>
    <col min="3843" max="3844" width="13.88671875" style="78" customWidth="1"/>
    <col min="3845" max="3845" width="10.5546875" style="78" customWidth="1"/>
    <col min="3846" max="3846" width="15.109375" style="78" customWidth="1"/>
    <col min="3847" max="3847" width="20.44140625" style="78" customWidth="1"/>
    <col min="3848" max="4089" width="11.44140625" style="78"/>
    <col min="4090" max="4090" width="30.33203125" style="78" customWidth="1"/>
    <col min="4091" max="4091" width="10.44140625" style="78" customWidth="1"/>
    <col min="4092" max="4093" width="11.44140625" style="78"/>
    <col min="4094" max="4094" width="10.33203125" style="78" customWidth="1"/>
    <col min="4095" max="4095" width="9.5546875" style="78" customWidth="1"/>
    <col min="4096" max="4096" width="13.109375" style="78" customWidth="1"/>
    <col min="4097" max="4097" width="9.88671875" style="78" customWidth="1"/>
    <col min="4098" max="4098" width="9.109375" style="78" customWidth="1"/>
    <col min="4099" max="4100" width="13.88671875" style="78" customWidth="1"/>
    <col min="4101" max="4101" width="10.5546875" style="78" customWidth="1"/>
    <col min="4102" max="4102" width="15.109375" style="78" customWidth="1"/>
    <col min="4103" max="4103" width="20.44140625" style="78" customWidth="1"/>
    <col min="4104" max="4345" width="11.44140625" style="78"/>
    <col min="4346" max="4346" width="30.33203125" style="78" customWidth="1"/>
    <col min="4347" max="4347" width="10.44140625" style="78" customWidth="1"/>
    <col min="4348" max="4349" width="11.44140625" style="78"/>
    <col min="4350" max="4350" width="10.33203125" style="78" customWidth="1"/>
    <col min="4351" max="4351" width="9.5546875" style="78" customWidth="1"/>
    <col min="4352" max="4352" width="13.109375" style="78" customWidth="1"/>
    <col min="4353" max="4353" width="9.88671875" style="78" customWidth="1"/>
    <col min="4354" max="4354" width="9.109375" style="78" customWidth="1"/>
    <col min="4355" max="4356" width="13.88671875" style="78" customWidth="1"/>
    <col min="4357" max="4357" width="10.5546875" style="78" customWidth="1"/>
    <col min="4358" max="4358" width="15.109375" style="78" customWidth="1"/>
    <col min="4359" max="4359" width="20.44140625" style="78" customWidth="1"/>
    <col min="4360" max="4601" width="11.44140625" style="78"/>
    <col min="4602" max="4602" width="30.33203125" style="78" customWidth="1"/>
    <col min="4603" max="4603" width="10.44140625" style="78" customWidth="1"/>
    <col min="4604" max="4605" width="11.44140625" style="78"/>
    <col min="4606" max="4606" width="10.33203125" style="78" customWidth="1"/>
    <col min="4607" max="4607" width="9.5546875" style="78" customWidth="1"/>
    <col min="4608" max="4608" width="13.109375" style="78" customWidth="1"/>
    <col min="4609" max="4609" width="9.88671875" style="78" customWidth="1"/>
    <col min="4610" max="4610" width="9.109375" style="78" customWidth="1"/>
    <col min="4611" max="4612" width="13.88671875" style="78" customWidth="1"/>
    <col min="4613" max="4613" width="10.5546875" style="78" customWidth="1"/>
    <col min="4614" max="4614" width="15.109375" style="78" customWidth="1"/>
    <col min="4615" max="4615" width="20.44140625" style="78" customWidth="1"/>
    <col min="4616" max="4857" width="11.44140625" style="78"/>
    <col min="4858" max="4858" width="30.33203125" style="78" customWidth="1"/>
    <col min="4859" max="4859" width="10.44140625" style="78" customWidth="1"/>
    <col min="4860" max="4861" width="11.44140625" style="78"/>
    <col min="4862" max="4862" width="10.33203125" style="78" customWidth="1"/>
    <col min="4863" max="4863" width="9.5546875" style="78" customWidth="1"/>
    <col min="4864" max="4864" width="13.109375" style="78" customWidth="1"/>
    <col min="4865" max="4865" width="9.88671875" style="78" customWidth="1"/>
    <col min="4866" max="4866" width="9.109375" style="78" customWidth="1"/>
    <col min="4867" max="4868" width="13.88671875" style="78" customWidth="1"/>
    <col min="4869" max="4869" width="10.5546875" style="78" customWidth="1"/>
    <col min="4870" max="4870" width="15.109375" style="78" customWidth="1"/>
    <col min="4871" max="4871" width="20.44140625" style="78" customWidth="1"/>
    <col min="4872" max="5113" width="11.44140625" style="78"/>
    <col min="5114" max="5114" width="30.33203125" style="78" customWidth="1"/>
    <col min="5115" max="5115" width="10.44140625" style="78" customWidth="1"/>
    <col min="5116" max="5117" width="11.44140625" style="78"/>
    <col min="5118" max="5118" width="10.33203125" style="78" customWidth="1"/>
    <col min="5119" max="5119" width="9.5546875" style="78" customWidth="1"/>
    <col min="5120" max="5120" width="13.109375" style="78" customWidth="1"/>
    <col min="5121" max="5121" width="9.88671875" style="78" customWidth="1"/>
    <col min="5122" max="5122" width="9.109375" style="78" customWidth="1"/>
    <col min="5123" max="5124" width="13.88671875" style="78" customWidth="1"/>
    <col min="5125" max="5125" width="10.5546875" style="78" customWidth="1"/>
    <col min="5126" max="5126" width="15.109375" style="78" customWidth="1"/>
    <col min="5127" max="5127" width="20.44140625" style="78" customWidth="1"/>
    <col min="5128" max="5369" width="11.44140625" style="78"/>
    <col min="5370" max="5370" width="30.33203125" style="78" customWidth="1"/>
    <col min="5371" max="5371" width="10.44140625" style="78" customWidth="1"/>
    <col min="5372" max="5373" width="11.44140625" style="78"/>
    <col min="5374" max="5374" width="10.33203125" style="78" customWidth="1"/>
    <col min="5375" max="5375" width="9.5546875" style="78" customWidth="1"/>
    <col min="5376" max="5376" width="13.109375" style="78" customWidth="1"/>
    <col min="5377" max="5377" width="9.88671875" style="78" customWidth="1"/>
    <col min="5378" max="5378" width="9.109375" style="78" customWidth="1"/>
    <col min="5379" max="5380" width="13.88671875" style="78" customWidth="1"/>
    <col min="5381" max="5381" width="10.5546875" style="78" customWidth="1"/>
    <col min="5382" max="5382" width="15.109375" style="78" customWidth="1"/>
    <col min="5383" max="5383" width="20.44140625" style="78" customWidth="1"/>
    <col min="5384" max="5625" width="11.44140625" style="78"/>
    <col min="5626" max="5626" width="30.33203125" style="78" customWidth="1"/>
    <col min="5627" max="5627" width="10.44140625" style="78" customWidth="1"/>
    <col min="5628" max="5629" width="11.44140625" style="78"/>
    <col min="5630" max="5630" width="10.33203125" style="78" customWidth="1"/>
    <col min="5631" max="5631" width="9.5546875" style="78" customWidth="1"/>
    <col min="5632" max="5632" width="13.109375" style="78" customWidth="1"/>
    <col min="5633" max="5633" width="9.88671875" style="78" customWidth="1"/>
    <col min="5634" max="5634" width="9.109375" style="78" customWidth="1"/>
    <col min="5635" max="5636" width="13.88671875" style="78" customWidth="1"/>
    <col min="5637" max="5637" width="10.5546875" style="78" customWidth="1"/>
    <col min="5638" max="5638" width="15.109375" style="78" customWidth="1"/>
    <col min="5639" max="5639" width="20.44140625" style="78" customWidth="1"/>
    <col min="5640" max="5881" width="11.44140625" style="78"/>
    <col min="5882" max="5882" width="30.33203125" style="78" customWidth="1"/>
    <col min="5883" max="5883" width="10.44140625" style="78" customWidth="1"/>
    <col min="5884" max="5885" width="11.44140625" style="78"/>
    <col min="5886" max="5886" width="10.33203125" style="78" customWidth="1"/>
    <col min="5887" max="5887" width="9.5546875" style="78" customWidth="1"/>
    <col min="5888" max="5888" width="13.109375" style="78" customWidth="1"/>
    <col min="5889" max="5889" width="9.88671875" style="78" customWidth="1"/>
    <col min="5890" max="5890" width="9.109375" style="78" customWidth="1"/>
    <col min="5891" max="5892" width="13.88671875" style="78" customWidth="1"/>
    <col min="5893" max="5893" width="10.5546875" style="78" customWidth="1"/>
    <col min="5894" max="5894" width="15.109375" style="78" customWidth="1"/>
    <col min="5895" max="5895" width="20.44140625" style="78" customWidth="1"/>
    <col min="5896" max="6137" width="11.44140625" style="78"/>
    <col min="6138" max="6138" width="30.33203125" style="78" customWidth="1"/>
    <col min="6139" max="6139" width="10.44140625" style="78" customWidth="1"/>
    <col min="6140" max="6141" width="11.44140625" style="78"/>
    <col min="6142" max="6142" width="10.33203125" style="78" customWidth="1"/>
    <col min="6143" max="6143" width="9.5546875" style="78" customWidth="1"/>
    <col min="6144" max="6144" width="13.109375" style="78" customWidth="1"/>
    <col min="6145" max="6145" width="9.88671875" style="78" customWidth="1"/>
    <col min="6146" max="6146" width="9.109375" style="78" customWidth="1"/>
    <col min="6147" max="6148" width="13.88671875" style="78" customWidth="1"/>
    <col min="6149" max="6149" width="10.5546875" style="78" customWidth="1"/>
    <col min="6150" max="6150" width="15.109375" style="78" customWidth="1"/>
    <col min="6151" max="6151" width="20.44140625" style="78" customWidth="1"/>
    <col min="6152" max="6393" width="11.44140625" style="78"/>
    <col min="6394" max="6394" width="30.33203125" style="78" customWidth="1"/>
    <col min="6395" max="6395" width="10.44140625" style="78" customWidth="1"/>
    <col min="6396" max="6397" width="11.44140625" style="78"/>
    <col min="6398" max="6398" width="10.33203125" style="78" customWidth="1"/>
    <col min="6399" max="6399" width="9.5546875" style="78" customWidth="1"/>
    <col min="6400" max="6400" width="13.109375" style="78" customWidth="1"/>
    <col min="6401" max="6401" width="9.88671875" style="78" customWidth="1"/>
    <col min="6402" max="6402" width="9.109375" style="78" customWidth="1"/>
    <col min="6403" max="6404" width="13.88671875" style="78" customWidth="1"/>
    <col min="6405" max="6405" width="10.5546875" style="78" customWidth="1"/>
    <col min="6406" max="6406" width="15.109375" style="78" customWidth="1"/>
    <col min="6407" max="6407" width="20.44140625" style="78" customWidth="1"/>
    <col min="6408" max="6649" width="11.44140625" style="78"/>
    <col min="6650" max="6650" width="30.33203125" style="78" customWidth="1"/>
    <col min="6651" max="6651" width="10.44140625" style="78" customWidth="1"/>
    <col min="6652" max="6653" width="11.44140625" style="78"/>
    <col min="6654" max="6654" width="10.33203125" style="78" customWidth="1"/>
    <col min="6655" max="6655" width="9.5546875" style="78" customWidth="1"/>
    <col min="6656" max="6656" width="13.109375" style="78" customWidth="1"/>
    <col min="6657" max="6657" width="9.88671875" style="78" customWidth="1"/>
    <col min="6658" max="6658" width="9.109375" style="78" customWidth="1"/>
    <col min="6659" max="6660" width="13.88671875" style="78" customWidth="1"/>
    <col min="6661" max="6661" width="10.5546875" style="78" customWidth="1"/>
    <col min="6662" max="6662" width="15.109375" style="78" customWidth="1"/>
    <col min="6663" max="6663" width="20.44140625" style="78" customWidth="1"/>
    <col min="6664" max="6905" width="11.44140625" style="78"/>
    <col min="6906" max="6906" width="30.33203125" style="78" customWidth="1"/>
    <col min="6907" max="6907" width="10.44140625" style="78" customWidth="1"/>
    <col min="6908" max="6909" width="11.44140625" style="78"/>
    <col min="6910" max="6910" width="10.33203125" style="78" customWidth="1"/>
    <col min="6911" max="6911" width="9.5546875" style="78" customWidth="1"/>
    <col min="6912" max="6912" width="13.109375" style="78" customWidth="1"/>
    <col min="6913" max="6913" width="9.88671875" style="78" customWidth="1"/>
    <col min="6914" max="6914" width="9.109375" style="78" customWidth="1"/>
    <col min="6915" max="6916" width="13.88671875" style="78" customWidth="1"/>
    <col min="6917" max="6917" width="10.5546875" style="78" customWidth="1"/>
    <col min="6918" max="6918" width="15.109375" style="78" customWidth="1"/>
    <col min="6919" max="6919" width="20.44140625" style="78" customWidth="1"/>
    <col min="6920" max="7161" width="11.44140625" style="78"/>
    <col min="7162" max="7162" width="30.33203125" style="78" customWidth="1"/>
    <col min="7163" max="7163" width="10.44140625" style="78" customWidth="1"/>
    <col min="7164" max="7165" width="11.44140625" style="78"/>
    <col min="7166" max="7166" width="10.33203125" style="78" customWidth="1"/>
    <col min="7167" max="7167" width="9.5546875" style="78" customWidth="1"/>
    <col min="7168" max="7168" width="13.109375" style="78" customWidth="1"/>
    <col min="7169" max="7169" width="9.88671875" style="78" customWidth="1"/>
    <col min="7170" max="7170" width="9.109375" style="78" customWidth="1"/>
    <col min="7171" max="7172" width="13.88671875" style="78" customWidth="1"/>
    <col min="7173" max="7173" width="10.5546875" style="78" customWidth="1"/>
    <col min="7174" max="7174" width="15.109375" style="78" customWidth="1"/>
    <col min="7175" max="7175" width="20.44140625" style="78" customWidth="1"/>
    <col min="7176" max="7417" width="11.44140625" style="78"/>
    <col min="7418" max="7418" width="30.33203125" style="78" customWidth="1"/>
    <col min="7419" max="7419" width="10.44140625" style="78" customWidth="1"/>
    <col min="7420" max="7421" width="11.44140625" style="78"/>
    <col min="7422" max="7422" width="10.33203125" style="78" customWidth="1"/>
    <col min="7423" max="7423" width="9.5546875" style="78" customWidth="1"/>
    <col min="7424" max="7424" width="13.109375" style="78" customWidth="1"/>
    <col min="7425" max="7425" width="9.88671875" style="78" customWidth="1"/>
    <col min="7426" max="7426" width="9.109375" style="78" customWidth="1"/>
    <col min="7427" max="7428" width="13.88671875" style="78" customWidth="1"/>
    <col min="7429" max="7429" width="10.5546875" style="78" customWidth="1"/>
    <col min="7430" max="7430" width="15.109375" style="78" customWidth="1"/>
    <col min="7431" max="7431" width="20.44140625" style="78" customWidth="1"/>
    <col min="7432" max="7673" width="11.44140625" style="78"/>
    <col min="7674" max="7674" width="30.33203125" style="78" customWidth="1"/>
    <col min="7675" max="7675" width="10.44140625" style="78" customWidth="1"/>
    <col min="7676" max="7677" width="11.44140625" style="78"/>
    <col min="7678" max="7678" width="10.33203125" style="78" customWidth="1"/>
    <col min="7679" max="7679" width="9.5546875" style="78" customWidth="1"/>
    <col min="7680" max="7680" width="13.109375" style="78" customWidth="1"/>
    <col min="7681" max="7681" width="9.88671875" style="78" customWidth="1"/>
    <col min="7682" max="7682" width="9.109375" style="78" customWidth="1"/>
    <col min="7683" max="7684" width="13.88671875" style="78" customWidth="1"/>
    <col min="7685" max="7685" width="10.5546875" style="78" customWidth="1"/>
    <col min="7686" max="7686" width="15.109375" style="78" customWidth="1"/>
    <col min="7687" max="7687" width="20.44140625" style="78" customWidth="1"/>
    <col min="7688" max="7929" width="11.44140625" style="78"/>
    <col min="7930" max="7930" width="30.33203125" style="78" customWidth="1"/>
    <col min="7931" max="7931" width="10.44140625" style="78" customWidth="1"/>
    <col min="7932" max="7933" width="11.44140625" style="78"/>
    <col min="7934" max="7934" width="10.33203125" style="78" customWidth="1"/>
    <col min="7935" max="7935" width="9.5546875" style="78" customWidth="1"/>
    <col min="7936" max="7936" width="13.109375" style="78" customWidth="1"/>
    <col min="7937" max="7937" width="9.88671875" style="78" customWidth="1"/>
    <col min="7938" max="7938" width="9.109375" style="78" customWidth="1"/>
    <col min="7939" max="7940" width="13.88671875" style="78" customWidth="1"/>
    <col min="7941" max="7941" width="10.5546875" style="78" customWidth="1"/>
    <col min="7942" max="7942" width="15.109375" style="78" customWidth="1"/>
    <col min="7943" max="7943" width="20.44140625" style="78" customWidth="1"/>
    <col min="7944" max="8185" width="11.44140625" style="78"/>
    <col min="8186" max="8186" width="30.33203125" style="78" customWidth="1"/>
    <col min="8187" max="8187" width="10.44140625" style="78" customWidth="1"/>
    <col min="8188" max="8189" width="11.44140625" style="78"/>
    <col min="8190" max="8190" width="10.33203125" style="78" customWidth="1"/>
    <col min="8191" max="8191" width="9.5546875" style="78" customWidth="1"/>
    <col min="8192" max="8192" width="13.109375" style="78" customWidth="1"/>
    <col min="8193" max="8193" width="9.88671875" style="78" customWidth="1"/>
    <col min="8194" max="8194" width="9.109375" style="78" customWidth="1"/>
    <col min="8195" max="8196" width="13.88671875" style="78" customWidth="1"/>
    <col min="8197" max="8197" width="10.5546875" style="78" customWidth="1"/>
    <col min="8198" max="8198" width="15.109375" style="78" customWidth="1"/>
    <col min="8199" max="8199" width="20.44140625" style="78" customWidth="1"/>
    <col min="8200" max="8441" width="11.44140625" style="78"/>
    <col min="8442" max="8442" width="30.33203125" style="78" customWidth="1"/>
    <col min="8443" max="8443" width="10.44140625" style="78" customWidth="1"/>
    <col min="8444" max="8445" width="11.44140625" style="78"/>
    <col min="8446" max="8446" width="10.33203125" style="78" customWidth="1"/>
    <col min="8447" max="8447" width="9.5546875" style="78" customWidth="1"/>
    <col min="8448" max="8448" width="13.109375" style="78" customWidth="1"/>
    <col min="8449" max="8449" width="9.88671875" style="78" customWidth="1"/>
    <col min="8450" max="8450" width="9.109375" style="78" customWidth="1"/>
    <col min="8451" max="8452" width="13.88671875" style="78" customWidth="1"/>
    <col min="8453" max="8453" width="10.5546875" style="78" customWidth="1"/>
    <col min="8454" max="8454" width="15.109375" style="78" customWidth="1"/>
    <col min="8455" max="8455" width="20.44140625" style="78" customWidth="1"/>
    <col min="8456" max="8697" width="11.44140625" style="78"/>
    <col min="8698" max="8698" width="30.33203125" style="78" customWidth="1"/>
    <col min="8699" max="8699" width="10.44140625" style="78" customWidth="1"/>
    <col min="8700" max="8701" width="11.44140625" style="78"/>
    <col min="8702" max="8702" width="10.33203125" style="78" customWidth="1"/>
    <col min="8703" max="8703" width="9.5546875" style="78" customWidth="1"/>
    <col min="8704" max="8704" width="13.109375" style="78" customWidth="1"/>
    <col min="8705" max="8705" width="9.88671875" style="78" customWidth="1"/>
    <col min="8706" max="8706" width="9.109375" style="78" customWidth="1"/>
    <col min="8707" max="8708" width="13.88671875" style="78" customWidth="1"/>
    <col min="8709" max="8709" width="10.5546875" style="78" customWidth="1"/>
    <col min="8710" max="8710" width="15.109375" style="78" customWidth="1"/>
    <col min="8711" max="8711" width="20.44140625" style="78" customWidth="1"/>
    <col min="8712" max="8953" width="11.44140625" style="78"/>
    <col min="8954" max="8954" width="30.33203125" style="78" customWidth="1"/>
    <col min="8955" max="8955" width="10.44140625" style="78" customWidth="1"/>
    <col min="8956" max="8957" width="11.44140625" style="78"/>
    <col min="8958" max="8958" width="10.33203125" style="78" customWidth="1"/>
    <col min="8959" max="8959" width="9.5546875" style="78" customWidth="1"/>
    <col min="8960" max="8960" width="13.109375" style="78" customWidth="1"/>
    <col min="8961" max="8961" width="9.88671875" style="78" customWidth="1"/>
    <col min="8962" max="8962" width="9.109375" style="78" customWidth="1"/>
    <col min="8963" max="8964" width="13.88671875" style="78" customWidth="1"/>
    <col min="8965" max="8965" width="10.5546875" style="78" customWidth="1"/>
    <col min="8966" max="8966" width="15.109375" style="78" customWidth="1"/>
    <col min="8967" max="8967" width="20.44140625" style="78" customWidth="1"/>
    <col min="8968" max="9209" width="11.44140625" style="78"/>
    <col min="9210" max="9210" width="30.33203125" style="78" customWidth="1"/>
    <col min="9211" max="9211" width="10.44140625" style="78" customWidth="1"/>
    <col min="9212" max="9213" width="11.44140625" style="78"/>
    <col min="9214" max="9214" width="10.33203125" style="78" customWidth="1"/>
    <col min="9215" max="9215" width="9.5546875" style="78" customWidth="1"/>
    <col min="9216" max="9216" width="13.109375" style="78" customWidth="1"/>
    <col min="9217" max="9217" width="9.88671875" style="78" customWidth="1"/>
    <col min="9218" max="9218" width="9.109375" style="78" customWidth="1"/>
    <col min="9219" max="9220" width="13.88671875" style="78" customWidth="1"/>
    <col min="9221" max="9221" width="10.5546875" style="78" customWidth="1"/>
    <col min="9222" max="9222" width="15.109375" style="78" customWidth="1"/>
    <col min="9223" max="9223" width="20.44140625" style="78" customWidth="1"/>
    <col min="9224" max="9465" width="11.44140625" style="78"/>
    <col min="9466" max="9466" width="30.33203125" style="78" customWidth="1"/>
    <col min="9467" max="9467" width="10.44140625" style="78" customWidth="1"/>
    <col min="9468" max="9469" width="11.44140625" style="78"/>
    <col min="9470" max="9470" width="10.33203125" style="78" customWidth="1"/>
    <col min="9471" max="9471" width="9.5546875" style="78" customWidth="1"/>
    <col min="9472" max="9472" width="13.109375" style="78" customWidth="1"/>
    <col min="9473" max="9473" width="9.88671875" style="78" customWidth="1"/>
    <col min="9474" max="9474" width="9.109375" style="78" customWidth="1"/>
    <col min="9475" max="9476" width="13.88671875" style="78" customWidth="1"/>
    <col min="9477" max="9477" width="10.5546875" style="78" customWidth="1"/>
    <col min="9478" max="9478" width="15.109375" style="78" customWidth="1"/>
    <col min="9479" max="9479" width="20.44140625" style="78" customWidth="1"/>
    <col min="9480" max="9721" width="11.44140625" style="78"/>
    <col min="9722" max="9722" width="30.33203125" style="78" customWidth="1"/>
    <col min="9723" max="9723" width="10.44140625" style="78" customWidth="1"/>
    <col min="9724" max="9725" width="11.44140625" style="78"/>
    <col min="9726" max="9726" width="10.33203125" style="78" customWidth="1"/>
    <col min="9727" max="9727" width="9.5546875" style="78" customWidth="1"/>
    <col min="9728" max="9728" width="13.109375" style="78" customWidth="1"/>
    <col min="9729" max="9729" width="9.88671875" style="78" customWidth="1"/>
    <col min="9730" max="9730" width="9.109375" style="78" customWidth="1"/>
    <col min="9731" max="9732" width="13.88671875" style="78" customWidth="1"/>
    <col min="9733" max="9733" width="10.5546875" style="78" customWidth="1"/>
    <col min="9734" max="9734" width="15.109375" style="78" customWidth="1"/>
    <col min="9735" max="9735" width="20.44140625" style="78" customWidth="1"/>
    <col min="9736" max="9977" width="11.44140625" style="78"/>
    <col min="9978" max="9978" width="30.33203125" style="78" customWidth="1"/>
    <col min="9979" max="9979" width="10.44140625" style="78" customWidth="1"/>
    <col min="9980" max="9981" width="11.44140625" style="78"/>
    <col min="9982" max="9982" width="10.33203125" style="78" customWidth="1"/>
    <col min="9983" max="9983" width="9.5546875" style="78" customWidth="1"/>
    <col min="9984" max="9984" width="13.109375" style="78" customWidth="1"/>
    <col min="9985" max="9985" width="9.88671875" style="78" customWidth="1"/>
    <col min="9986" max="9986" width="9.109375" style="78" customWidth="1"/>
    <col min="9987" max="9988" width="13.88671875" style="78" customWidth="1"/>
    <col min="9989" max="9989" width="10.5546875" style="78" customWidth="1"/>
    <col min="9990" max="9990" width="15.109375" style="78" customWidth="1"/>
    <col min="9991" max="9991" width="20.44140625" style="78" customWidth="1"/>
    <col min="9992" max="10233" width="11.44140625" style="78"/>
    <col min="10234" max="10234" width="30.33203125" style="78" customWidth="1"/>
    <col min="10235" max="10235" width="10.44140625" style="78" customWidth="1"/>
    <col min="10236" max="10237" width="11.44140625" style="78"/>
    <col min="10238" max="10238" width="10.33203125" style="78" customWidth="1"/>
    <col min="10239" max="10239" width="9.5546875" style="78" customWidth="1"/>
    <col min="10240" max="10240" width="13.109375" style="78" customWidth="1"/>
    <col min="10241" max="10241" width="9.88671875" style="78" customWidth="1"/>
    <col min="10242" max="10242" width="9.109375" style="78" customWidth="1"/>
    <col min="10243" max="10244" width="13.88671875" style="78" customWidth="1"/>
    <col min="10245" max="10245" width="10.5546875" style="78" customWidth="1"/>
    <col min="10246" max="10246" width="15.109375" style="78" customWidth="1"/>
    <col min="10247" max="10247" width="20.44140625" style="78" customWidth="1"/>
    <col min="10248" max="10489" width="11.44140625" style="78"/>
    <col min="10490" max="10490" width="30.33203125" style="78" customWidth="1"/>
    <col min="10491" max="10491" width="10.44140625" style="78" customWidth="1"/>
    <col min="10492" max="10493" width="11.44140625" style="78"/>
    <col min="10494" max="10494" width="10.33203125" style="78" customWidth="1"/>
    <col min="10495" max="10495" width="9.5546875" style="78" customWidth="1"/>
    <col min="10496" max="10496" width="13.109375" style="78" customWidth="1"/>
    <col min="10497" max="10497" width="9.88671875" style="78" customWidth="1"/>
    <col min="10498" max="10498" width="9.109375" style="78" customWidth="1"/>
    <col min="10499" max="10500" width="13.88671875" style="78" customWidth="1"/>
    <col min="10501" max="10501" width="10.5546875" style="78" customWidth="1"/>
    <col min="10502" max="10502" width="15.109375" style="78" customWidth="1"/>
    <col min="10503" max="10503" width="20.44140625" style="78" customWidth="1"/>
    <col min="10504" max="10745" width="11.44140625" style="78"/>
    <col min="10746" max="10746" width="30.33203125" style="78" customWidth="1"/>
    <col min="10747" max="10747" width="10.44140625" style="78" customWidth="1"/>
    <col min="10748" max="10749" width="11.44140625" style="78"/>
    <col min="10750" max="10750" width="10.33203125" style="78" customWidth="1"/>
    <col min="10751" max="10751" width="9.5546875" style="78" customWidth="1"/>
    <col min="10752" max="10752" width="13.109375" style="78" customWidth="1"/>
    <col min="10753" max="10753" width="9.88671875" style="78" customWidth="1"/>
    <col min="10754" max="10754" width="9.109375" style="78" customWidth="1"/>
    <col min="10755" max="10756" width="13.88671875" style="78" customWidth="1"/>
    <col min="10757" max="10757" width="10.5546875" style="78" customWidth="1"/>
    <col min="10758" max="10758" width="15.109375" style="78" customWidth="1"/>
    <col min="10759" max="10759" width="20.44140625" style="78" customWidth="1"/>
    <col min="10760" max="11001" width="11.44140625" style="78"/>
    <col min="11002" max="11002" width="30.33203125" style="78" customWidth="1"/>
    <col min="11003" max="11003" width="10.44140625" style="78" customWidth="1"/>
    <col min="11004" max="11005" width="11.44140625" style="78"/>
    <col min="11006" max="11006" width="10.33203125" style="78" customWidth="1"/>
    <col min="11007" max="11007" width="9.5546875" style="78" customWidth="1"/>
    <col min="11008" max="11008" width="13.109375" style="78" customWidth="1"/>
    <col min="11009" max="11009" width="9.88671875" style="78" customWidth="1"/>
    <col min="11010" max="11010" width="9.109375" style="78" customWidth="1"/>
    <col min="11011" max="11012" width="13.88671875" style="78" customWidth="1"/>
    <col min="11013" max="11013" width="10.5546875" style="78" customWidth="1"/>
    <col min="11014" max="11014" width="15.109375" style="78" customWidth="1"/>
    <col min="11015" max="11015" width="20.44140625" style="78" customWidth="1"/>
    <col min="11016" max="11257" width="11.44140625" style="78"/>
    <col min="11258" max="11258" width="30.33203125" style="78" customWidth="1"/>
    <col min="11259" max="11259" width="10.44140625" style="78" customWidth="1"/>
    <col min="11260" max="11261" width="11.44140625" style="78"/>
    <col min="11262" max="11262" width="10.33203125" style="78" customWidth="1"/>
    <col min="11263" max="11263" width="9.5546875" style="78" customWidth="1"/>
    <col min="11264" max="11264" width="13.109375" style="78" customWidth="1"/>
    <col min="11265" max="11265" width="9.88671875" style="78" customWidth="1"/>
    <col min="11266" max="11266" width="9.109375" style="78" customWidth="1"/>
    <col min="11267" max="11268" width="13.88671875" style="78" customWidth="1"/>
    <col min="11269" max="11269" width="10.5546875" style="78" customWidth="1"/>
    <col min="11270" max="11270" width="15.109375" style="78" customWidth="1"/>
    <col min="11271" max="11271" width="20.44140625" style="78" customWidth="1"/>
    <col min="11272" max="11513" width="11.44140625" style="78"/>
    <col min="11514" max="11514" width="30.33203125" style="78" customWidth="1"/>
    <col min="11515" max="11515" width="10.44140625" style="78" customWidth="1"/>
    <col min="11516" max="11517" width="11.44140625" style="78"/>
    <col min="11518" max="11518" width="10.33203125" style="78" customWidth="1"/>
    <col min="11519" max="11519" width="9.5546875" style="78" customWidth="1"/>
    <col min="11520" max="11520" width="13.109375" style="78" customWidth="1"/>
    <col min="11521" max="11521" width="9.88671875" style="78" customWidth="1"/>
    <col min="11522" max="11522" width="9.109375" style="78" customWidth="1"/>
    <col min="11523" max="11524" width="13.88671875" style="78" customWidth="1"/>
    <col min="11525" max="11525" width="10.5546875" style="78" customWidth="1"/>
    <col min="11526" max="11526" width="15.109375" style="78" customWidth="1"/>
    <col min="11527" max="11527" width="20.44140625" style="78" customWidth="1"/>
    <col min="11528" max="11769" width="11.44140625" style="78"/>
    <col min="11770" max="11770" width="30.33203125" style="78" customWidth="1"/>
    <col min="11771" max="11771" width="10.44140625" style="78" customWidth="1"/>
    <col min="11772" max="11773" width="11.44140625" style="78"/>
    <col min="11774" max="11774" width="10.33203125" style="78" customWidth="1"/>
    <col min="11775" max="11775" width="9.5546875" style="78" customWidth="1"/>
    <col min="11776" max="11776" width="13.109375" style="78" customWidth="1"/>
    <col min="11777" max="11777" width="9.88671875" style="78" customWidth="1"/>
    <col min="11778" max="11778" width="9.109375" style="78" customWidth="1"/>
    <col min="11779" max="11780" width="13.88671875" style="78" customWidth="1"/>
    <col min="11781" max="11781" width="10.5546875" style="78" customWidth="1"/>
    <col min="11782" max="11782" width="15.109375" style="78" customWidth="1"/>
    <col min="11783" max="11783" width="20.44140625" style="78" customWidth="1"/>
    <col min="11784" max="12025" width="11.44140625" style="78"/>
    <col min="12026" max="12026" width="30.33203125" style="78" customWidth="1"/>
    <col min="12027" max="12027" width="10.44140625" style="78" customWidth="1"/>
    <col min="12028" max="12029" width="11.44140625" style="78"/>
    <col min="12030" max="12030" width="10.33203125" style="78" customWidth="1"/>
    <col min="12031" max="12031" width="9.5546875" style="78" customWidth="1"/>
    <col min="12032" max="12032" width="13.109375" style="78" customWidth="1"/>
    <col min="12033" max="12033" width="9.88671875" style="78" customWidth="1"/>
    <col min="12034" max="12034" width="9.109375" style="78" customWidth="1"/>
    <col min="12035" max="12036" width="13.88671875" style="78" customWidth="1"/>
    <col min="12037" max="12037" width="10.5546875" style="78" customWidth="1"/>
    <col min="12038" max="12038" width="15.109375" style="78" customWidth="1"/>
    <col min="12039" max="12039" width="20.44140625" style="78" customWidth="1"/>
    <col min="12040" max="12281" width="11.44140625" style="78"/>
    <col min="12282" max="12282" width="30.33203125" style="78" customWidth="1"/>
    <col min="12283" max="12283" width="10.44140625" style="78" customWidth="1"/>
    <col min="12284" max="12285" width="11.44140625" style="78"/>
    <col min="12286" max="12286" width="10.33203125" style="78" customWidth="1"/>
    <col min="12287" max="12287" width="9.5546875" style="78" customWidth="1"/>
    <col min="12288" max="12288" width="13.109375" style="78" customWidth="1"/>
    <col min="12289" max="12289" width="9.88671875" style="78" customWidth="1"/>
    <col min="12290" max="12290" width="9.109375" style="78" customWidth="1"/>
    <col min="12291" max="12292" width="13.88671875" style="78" customWidth="1"/>
    <col min="12293" max="12293" width="10.5546875" style="78" customWidth="1"/>
    <col min="12294" max="12294" width="15.109375" style="78" customWidth="1"/>
    <col min="12295" max="12295" width="20.44140625" style="78" customWidth="1"/>
    <col min="12296" max="12537" width="11.44140625" style="78"/>
    <col min="12538" max="12538" width="30.33203125" style="78" customWidth="1"/>
    <col min="12539" max="12539" width="10.44140625" style="78" customWidth="1"/>
    <col min="12540" max="12541" width="11.44140625" style="78"/>
    <col min="12542" max="12542" width="10.33203125" style="78" customWidth="1"/>
    <col min="12543" max="12543" width="9.5546875" style="78" customWidth="1"/>
    <col min="12544" max="12544" width="13.109375" style="78" customWidth="1"/>
    <col min="12545" max="12545" width="9.88671875" style="78" customWidth="1"/>
    <col min="12546" max="12546" width="9.109375" style="78" customWidth="1"/>
    <col min="12547" max="12548" width="13.88671875" style="78" customWidth="1"/>
    <col min="12549" max="12549" width="10.5546875" style="78" customWidth="1"/>
    <col min="12550" max="12550" width="15.109375" style="78" customWidth="1"/>
    <col min="12551" max="12551" width="20.44140625" style="78" customWidth="1"/>
    <col min="12552" max="12793" width="11.44140625" style="78"/>
    <col min="12794" max="12794" width="30.33203125" style="78" customWidth="1"/>
    <col min="12795" max="12795" width="10.44140625" style="78" customWidth="1"/>
    <col min="12796" max="12797" width="11.44140625" style="78"/>
    <col min="12798" max="12798" width="10.33203125" style="78" customWidth="1"/>
    <col min="12799" max="12799" width="9.5546875" style="78" customWidth="1"/>
    <col min="12800" max="12800" width="13.109375" style="78" customWidth="1"/>
    <col min="12801" max="12801" width="9.88671875" style="78" customWidth="1"/>
    <col min="12802" max="12802" width="9.109375" style="78" customWidth="1"/>
    <col min="12803" max="12804" width="13.88671875" style="78" customWidth="1"/>
    <col min="12805" max="12805" width="10.5546875" style="78" customWidth="1"/>
    <col min="12806" max="12806" width="15.109375" style="78" customWidth="1"/>
    <col min="12807" max="12807" width="20.44140625" style="78" customWidth="1"/>
    <col min="12808" max="13049" width="11.44140625" style="78"/>
    <col min="13050" max="13050" width="30.33203125" style="78" customWidth="1"/>
    <col min="13051" max="13051" width="10.44140625" style="78" customWidth="1"/>
    <col min="13052" max="13053" width="11.44140625" style="78"/>
    <col min="13054" max="13054" width="10.33203125" style="78" customWidth="1"/>
    <col min="13055" max="13055" width="9.5546875" style="78" customWidth="1"/>
    <col min="13056" max="13056" width="13.109375" style="78" customWidth="1"/>
    <col min="13057" max="13057" width="9.88671875" style="78" customWidth="1"/>
    <col min="13058" max="13058" width="9.109375" style="78" customWidth="1"/>
    <col min="13059" max="13060" width="13.88671875" style="78" customWidth="1"/>
    <col min="13061" max="13061" width="10.5546875" style="78" customWidth="1"/>
    <col min="13062" max="13062" width="15.109375" style="78" customWidth="1"/>
    <col min="13063" max="13063" width="20.44140625" style="78" customWidth="1"/>
    <col min="13064" max="13305" width="11.44140625" style="78"/>
    <col min="13306" max="13306" width="30.33203125" style="78" customWidth="1"/>
    <col min="13307" max="13307" width="10.44140625" style="78" customWidth="1"/>
    <col min="13308" max="13309" width="11.44140625" style="78"/>
    <col min="13310" max="13310" width="10.33203125" style="78" customWidth="1"/>
    <col min="13311" max="13311" width="9.5546875" style="78" customWidth="1"/>
    <col min="13312" max="13312" width="13.109375" style="78" customWidth="1"/>
    <col min="13313" max="13313" width="9.88671875" style="78" customWidth="1"/>
    <col min="13314" max="13314" width="9.109375" style="78" customWidth="1"/>
    <col min="13315" max="13316" width="13.88671875" style="78" customWidth="1"/>
    <col min="13317" max="13317" width="10.5546875" style="78" customWidth="1"/>
    <col min="13318" max="13318" width="15.109375" style="78" customWidth="1"/>
    <col min="13319" max="13319" width="20.44140625" style="78" customWidth="1"/>
    <col min="13320" max="13561" width="11.44140625" style="78"/>
    <col min="13562" max="13562" width="30.33203125" style="78" customWidth="1"/>
    <col min="13563" max="13563" width="10.44140625" style="78" customWidth="1"/>
    <col min="13564" max="13565" width="11.44140625" style="78"/>
    <col min="13566" max="13566" width="10.33203125" style="78" customWidth="1"/>
    <col min="13567" max="13567" width="9.5546875" style="78" customWidth="1"/>
    <col min="13568" max="13568" width="13.109375" style="78" customWidth="1"/>
    <col min="13569" max="13569" width="9.88671875" style="78" customWidth="1"/>
    <col min="13570" max="13570" width="9.109375" style="78" customWidth="1"/>
    <col min="13571" max="13572" width="13.88671875" style="78" customWidth="1"/>
    <col min="13573" max="13573" width="10.5546875" style="78" customWidth="1"/>
    <col min="13574" max="13574" width="15.109375" style="78" customWidth="1"/>
    <col min="13575" max="13575" width="20.44140625" style="78" customWidth="1"/>
    <col min="13576" max="13817" width="11.44140625" style="78"/>
    <col min="13818" max="13818" width="30.33203125" style="78" customWidth="1"/>
    <col min="13819" max="13819" width="10.44140625" style="78" customWidth="1"/>
    <col min="13820" max="13821" width="11.44140625" style="78"/>
    <col min="13822" max="13822" width="10.33203125" style="78" customWidth="1"/>
    <col min="13823" max="13823" width="9.5546875" style="78" customWidth="1"/>
    <col min="13824" max="13824" width="13.109375" style="78" customWidth="1"/>
    <col min="13825" max="13825" width="9.88671875" style="78" customWidth="1"/>
    <col min="13826" max="13826" width="9.109375" style="78" customWidth="1"/>
    <col min="13827" max="13828" width="13.88671875" style="78" customWidth="1"/>
    <col min="13829" max="13829" width="10.5546875" style="78" customWidth="1"/>
    <col min="13830" max="13830" width="15.109375" style="78" customWidth="1"/>
    <col min="13831" max="13831" width="20.44140625" style="78" customWidth="1"/>
    <col min="13832" max="14073" width="11.44140625" style="78"/>
    <col min="14074" max="14074" width="30.33203125" style="78" customWidth="1"/>
    <col min="14075" max="14075" width="10.44140625" style="78" customWidth="1"/>
    <col min="14076" max="14077" width="11.44140625" style="78"/>
    <col min="14078" max="14078" width="10.33203125" style="78" customWidth="1"/>
    <col min="14079" max="14079" width="9.5546875" style="78" customWidth="1"/>
    <col min="14080" max="14080" width="13.109375" style="78" customWidth="1"/>
    <col min="14081" max="14081" width="9.88671875" style="78" customWidth="1"/>
    <col min="14082" max="14082" width="9.109375" style="78" customWidth="1"/>
    <col min="14083" max="14084" width="13.88671875" style="78" customWidth="1"/>
    <col min="14085" max="14085" width="10.5546875" style="78" customWidth="1"/>
    <col min="14086" max="14086" width="15.109375" style="78" customWidth="1"/>
    <col min="14087" max="14087" width="20.44140625" style="78" customWidth="1"/>
    <col min="14088" max="14329" width="11.44140625" style="78"/>
    <col min="14330" max="14330" width="30.33203125" style="78" customWidth="1"/>
    <col min="14331" max="14331" width="10.44140625" style="78" customWidth="1"/>
    <col min="14332" max="14333" width="11.44140625" style="78"/>
    <col min="14334" max="14334" width="10.33203125" style="78" customWidth="1"/>
    <col min="14335" max="14335" width="9.5546875" style="78" customWidth="1"/>
    <col min="14336" max="14336" width="13.109375" style="78" customWidth="1"/>
    <col min="14337" max="14337" width="9.88671875" style="78" customWidth="1"/>
    <col min="14338" max="14338" width="9.109375" style="78" customWidth="1"/>
    <col min="14339" max="14340" width="13.88671875" style="78" customWidth="1"/>
    <col min="14341" max="14341" width="10.5546875" style="78" customWidth="1"/>
    <col min="14342" max="14342" width="15.109375" style="78" customWidth="1"/>
    <col min="14343" max="14343" width="20.44140625" style="78" customWidth="1"/>
    <col min="14344" max="14585" width="11.44140625" style="78"/>
    <col min="14586" max="14586" width="30.33203125" style="78" customWidth="1"/>
    <col min="14587" max="14587" width="10.44140625" style="78" customWidth="1"/>
    <col min="14588" max="14589" width="11.44140625" style="78"/>
    <col min="14590" max="14590" width="10.33203125" style="78" customWidth="1"/>
    <col min="14591" max="14591" width="9.5546875" style="78" customWidth="1"/>
    <col min="14592" max="14592" width="13.109375" style="78" customWidth="1"/>
    <col min="14593" max="14593" width="9.88671875" style="78" customWidth="1"/>
    <col min="14594" max="14594" width="9.109375" style="78" customWidth="1"/>
    <col min="14595" max="14596" width="13.88671875" style="78" customWidth="1"/>
    <col min="14597" max="14597" width="10.5546875" style="78" customWidth="1"/>
    <col min="14598" max="14598" width="15.109375" style="78" customWidth="1"/>
    <col min="14599" max="14599" width="20.44140625" style="78" customWidth="1"/>
    <col min="14600" max="14841" width="11.44140625" style="78"/>
    <col min="14842" max="14842" width="30.33203125" style="78" customWidth="1"/>
    <col min="14843" max="14843" width="10.44140625" style="78" customWidth="1"/>
    <col min="14844" max="14845" width="11.44140625" style="78"/>
    <col min="14846" max="14846" width="10.33203125" style="78" customWidth="1"/>
    <col min="14847" max="14847" width="9.5546875" style="78" customWidth="1"/>
    <col min="14848" max="14848" width="13.109375" style="78" customWidth="1"/>
    <col min="14849" max="14849" width="9.88671875" style="78" customWidth="1"/>
    <col min="14850" max="14850" width="9.109375" style="78" customWidth="1"/>
    <col min="14851" max="14852" width="13.88671875" style="78" customWidth="1"/>
    <col min="14853" max="14853" width="10.5546875" style="78" customWidth="1"/>
    <col min="14854" max="14854" width="15.109375" style="78" customWidth="1"/>
    <col min="14855" max="14855" width="20.44140625" style="78" customWidth="1"/>
    <col min="14856" max="15097" width="11.44140625" style="78"/>
    <col min="15098" max="15098" width="30.33203125" style="78" customWidth="1"/>
    <col min="15099" max="15099" width="10.44140625" style="78" customWidth="1"/>
    <col min="15100" max="15101" width="11.44140625" style="78"/>
    <col min="15102" max="15102" width="10.33203125" style="78" customWidth="1"/>
    <col min="15103" max="15103" width="9.5546875" style="78" customWidth="1"/>
    <col min="15104" max="15104" width="13.109375" style="78" customWidth="1"/>
    <col min="15105" max="15105" width="9.88671875" style="78" customWidth="1"/>
    <col min="15106" max="15106" width="9.109375" style="78" customWidth="1"/>
    <col min="15107" max="15108" width="13.88671875" style="78" customWidth="1"/>
    <col min="15109" max="15109" width="10.5546875" style="78" customWidth="1"/>
    <col min="15110" max="15110" width="15.109375" style="78" customWidth="1"/>
    <col min="15111" max="15111" width="20.44140625" style="78" customWidth="1"/>
    <col min="15112" max="15353" width="11.44140625" style="78"/>
    <col min="15354" max="15354" width="30.33203125" style="78" customWidth="1"/>
    <col min="15355" max="15355" width="10.44140625" style="78" customWidth="1"/>
    <col min="15356" max="15357" width="11.44140625" style="78"/>
    <col min="15358" max="15358" width="10.33203125" style="78" customWidth="1"/>
    <col min="15359" max="15359" width="9.5546875" style="78" customWidth="1"/>
    <col min="15360" max="15360" width="13.109375" style="78" customWidth="1"/>
    <col min="15361" max="15361" width="9.88671875" style="78" customWidth="1"/>
    <col min="15362" max="15362" width="9.109375" style="78" customWidth="1"/>
    <col min="15363" max="15364" width="13.88671875" style="78" customWidth="1"/>
    <col min="15365" max="15365" width="10.5546875" style="78" customWidth="1"/>
    <col min="15366" max="15366" width="15.109375" style="78" customWidth="1"/>
    <col min="15367" max="15367" width="20.44140625" style="78" customWidth="1"/>
    <col min="15368" max="15609" width="11.44140625" style="78"/>
    <col min="15610" max="15610" width="30.33203125" style="78" customWidth="1"/>
    <col min="15611" max="15611" width="10.44140625" style="78" customWidth="1"/>
    <col min="15612" max="15613" width="11.44140625" style="78"/>
    <col min="15614" max="15614" width="10.33203125" style="78" customWidth="1"/>
    <col min="15615" max="15615" width="9.5546875" style="78" customWidth="1"/>
    <col min="15616" max="15616" width="13.109375" style="78" customWidth="1"/>
    <col min="15617" max="15617" width="9.88671875" style="78" customWidth="1"/>
    <col min="15618" max="15618" width="9.109375" style="78" customWidth="1"/>
    <col min="15619" max="15620" width="13.88671875" style="78" customWidth="1"/>
    <col min="15621" max="15621" width="10.5546875" style="78" customWidth="1"/>
    <col min="15622" max="15622" width="15.109375" style="78" customWidth="1"/>
    <col min="15623" max="15623" width="20.44140625" style="78" customWidth="1"/>
    <col min="15624" max="15865" width="11.44140625" style="78"/>
    <col min="15866" max="15866" width="30.33203125" style="78" customWidth="1"/>
    <col min="15867" max="15867" width="10.44140625" style="78" customWidth="1"/>
    <col min="15868" max="15869" width="11.44140625" style="78"/>
    <col min="15870" max="15870" width="10.33203125" style="78" customWidth="1"/>
    <col min="15871" max="15871" width="9.5546875" style="78" customWidth="1"/>
    <col min="15872" max="15872" width="13.109375" style="78" customWidth="1"/>
    <col min="15873" max="15873" width="9.88671875" style="78" customWidth="1"/>
    <col min="15874" max="15874" width="9.109375" style="78" customWidth="1"/>
    <col min="15875" max="15876" width="13.88671875" style="78" customWidth="1"/>
    <col min="15877" max="15877" width="10.5546875" style="78" customWidth="1"/>
    <col min="15878" max="15878" width="15.109375" style="78" customWidth="1"/>
    <col min="15879" max="15879" width="20.44140625" style="78" customWidth="1"/>
    <col min="15880" max="16121" width="11.44140625" style="78"/>
    <col min="16122" max="16122" width="30.33203125" style="78" customWidth="1"/>
    <col min="16123" max="16123" width="10.44140625" style="78" customWidth="1"/>
    <col min="16124" max="16125" width="11.44140625" style="78"/>
    <col min="16126" max="16126" width="10.33203125" style="78" customWidth="1"/>
    <col min="16127" max="16127" width="9.5546875" style="78" customWidth="1"/>
    <col min="16128" max="16128" width="13.109375" style="78" customWidth="1"/>
    <col min="16129" max="16129" width="9.88671875" style="78" customWidth="1"/>
    <col min="16130" max="16130" width="9.109375" style="78" customWidth="1"/>
    <col min="16131" max="16132" width="13.88671875" style="78" customWidth="1"/>
    <col min="16133" max="16133" width="10.5546875" style="78" customWidth="1"/>
    <col min="16134" max="16134" width="15.109375" style="78" customWidth="1"/>
    <col min="16135" max="16135" width="20.44140625" style="78" customWidth="1"/>
    <col min="16136" max="16384" width="11.44140625" style="78"/>
  </cols>
  <sheetData>
    <row r="1" spans="1:14" ht="15" thickBot="1" x14ac:dyDescent="0.35"/>
    <row r="2" spans="1:14" ht="26.4" customHeight="1" thickBot="1" x14ac:dyDescent="0.35">
      <c r="B2" s="161" t="s">
        <v>44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4" x14ac:dyDescent="0.3">
      <c r="A3" s="81"/>
      <c r="B3" s="82"/>
    </row>
    <row r="4" spans="1:14" ht="15" thickBot="1" x14ac:dyDescent="0.35">
      <c r="A4" s="81"/>
      <c r="G4" s="78"/>
      <c r="H4" s="78"/>
      <c r="I4" s="78"/>
      <c r="J4" s="78"/>
      <c r="K4" s="78"/>
    </row>
    <row r="5" spans="1:14" ht="58.2" thickBot="1" x14ac:dyDescent="0.35">
      <c r="A5" s="94" t="s">
        <v>12</v>
      </c>
      <c r="B5" s="94" t="s">
        <v>9</v>
      </c>
      <c r="C5" s="95" t="s">
        <v>31</v>
      </c>
      <c r="D5" s="94" t="s">
        <v>0</v>
      </c>
      <c r="E5" s="94" t="s">
        <v>1</v>
      </c>
      <c r="F5" s="96" t="s">
        <v>32</v>
      </c>
      <c r="G5" s="97" t="s">
        <v>5</v>
      </c>
      <c r="H5" s="97" t="s">
        <v>34</v>
      </c>
      <c r="I5" s="98" t="s">
        <v>33</v>
      </c>
      <c r="J5" s="97" t="s">
        <v>5</v>
      </c>
      <c r="K5" s="98" t="s">
        <v>35</v>
      </c>
      <c r="M5" s="153" t="s">
        <v>52</v>
      </c>
      <c r="N5" s="154"/>
    </row>
    <row r="6" spans="1:14" s="87" customFormat="1" x14ac:dyDescent="0.3">
      <c r="A6" s="83"/>
      <c r="B6" s="83"/>
      <c r="C6" s="143">
        <f>SUM(H6+K6)</f>
        <v>0</v>
      </c>
      <c r="D6" s="83"/>
      <c r="E6" s="83"/>
      <c r="F6" s="127"/>
      <c r="G6" s="85">
        <v>7000</v>
      </c>
      <c r="H6" s="84">
        <f>F6*G6</f>
        <v>0</v>
      </c>
      <c r="I6" s="127"/>
      <c r="J6" s="84">
        <v>9000</v>
      </c>
      <c r="K6" s="86">
        <f>SUM(I6*J6)</f>
        <v>0</v>
      </c>
    </row>
    <row r="7" spans="1:14" s="87" customFormat="1" x14ac:dyDescent="0.3">
      <c r="A7" s="83"/>
      <c r="B7" s="83"/>
      <c r="C7" s="143">
        <f t="shared" ref="C7:C69" si="0">SUM(H7+K7)</f>
        <v>0</v>
      </c>
      <c r="D7" s="83"/>
      <c r="E7" s="83"/>
      <c r="F7" s="83"/>
      <c r="G7" s="85">
        <v>7000</v>
      </c>
      <c r="H7" s="84">
        <f>F7*G7</f>
        <v>0</v>
      </c>
      <c r="I7" s="83"/>
      <c r="J7" s="84">
        <v>9000</v>
      </c>
      <c r="K7" s="86">
        <f t="shared" ref="K7:K69" si="1">SUM(I7*J7)</f>
        <v>0</v>
      </c>
    </row>
    <row r="8" spans="1:14" s="87" customFormat="1" x14ac:dyDescent="0.3">
      <c r="A8" s="83"/>
      <c r="B8" s="83"/>
      <c r="C8" s="143">
        <f t="shared" si="0"/>
        <v>0</v>
      </c>
      <c r="D8" s="83"/>
      <c r="E8" s="83"/>
      <c r="F8" s="83"/>
      <c r="G8" s="85">
        <v>7000</v>
      </c>
      <c r="H8" s="84">
        <f>F8*G8</f>
        <v>0</v>
      </c>
      <c r="I8" s="83"/>
      <c r="J8" s="84">
        <v>9000</v>
      </c>
      <c r="K8" s="86">
        <f t="shared" si="1"/>
        <v>0</v>
      </c>
    </row>
    <row r="9" spans="1:14" s="87" customFormat="1" x14ac:dyDescent="0.3">
      <c r="A9" s="83"/>
      <c r="B9" s="83"/>
      <c r="C9" s="143">
        <f t="shared" si="0"/>
        <v>0</v>
      </c>
      <c r="D9" s="83"/>
      <c r="E9" s="83"/>
      <c r="F9" s="83"/>
      <c r="G9" s="85">
        <v>7000</v>
      </c>
      <c r="H9" s="84">
        <f>F9*G9</f>
        <v>0</v>
      </c>
      <c r="I9" s="83"/>
      <c r="J9" s="84">
        <v>9000</v>
      </c>
      <c r="K9" s="86">
        <f t="shared" si="1"/>
        <v>0</v>
      </c>
    </row>
    <row r="10" spans="1:14" s="87" customFormat="1" x14ac:dyDescent="0.3">
      <c r="A10" s="83"/>
      <c r="B10" s="83"/>
      <c r="C10" s="143">
        <f t="shared" si="0"/>
        <v>0</v>
      </c>
      <c r="D10" s="83"/>
      <c r="E10" s="83"/>
      <c r="F10" s="83"/>
      <c r="G10" s="85">
        <v>7000</v>
      </c>
      <c r="H10" s="84">
        <f>F10*G10</f>
        <v>0</v>
      </c>
      <c r="I10" s="83"/>
      <c r="J10" s="84">
        <v>9000</v>
      </c>
      <c r="K10" s="86">
        <f t="shared" si="1"/>
        <v>0</v>
      </c>
    </row>
    <row r="11" spans="1:14" s="87" customFormat="1" x14ac:dyDescent="0.3">
      <c r="A11" s="83"/>
      <c r="B11" s="83"/>
      <c r="C11" s="143">
        <f t="shared" si="0"/>
        <v>0</v>
      </c>
      <c r="D11" s="83"/>
      <c r="E11" s="83"/>
      <c r="F11" s="83"/>
      <c r="G11" s="85">
        <v>7000</v>
      </c>
      <c r="H11" s="85">
        <f t="shared" ref="H11:H69" si="2">SUM(F11*G11)</f>
        <v>0</v>
      </c>
      <c r="I11" s="83"/>
      <c r="J11" s="84">
        <v>9000</v>
      </c>
      <c r="K11" s="86">
        <f t="shared" si="1"/>
        <v>0</v>
      </c>
    </row>
    <row r="12" spans="1:14" s="87" customFormat="1" x14ac:dyDescent="0.3">
      <c r="A12" s="83"/>
      <c r="B12" s="83"/>
      <c r="C12" s="143">
        <f t="shared" si="0"/>
        <v>0</v>
      </c>
      <c r="D12" s="83"/>
      <c r="E12" s="83"/>
      <c r="F12" s="83"/>
      <c r="G12" s="85">
        <v>7000</v>
      </c>
      <c r="H12" s="85">
        <f t="shared" si="2"/>
        <v>0</v>
      </c>
      <c r="I12" s="83"/>
      <c r="J12" s="84">
        <v>9000</v>
      </c>
      <c r="K12" s="86">
        <f t="shared" si="1"/>
        <v>0</v>
      </c>
    </row>
    <row r="13" spans="1:14" s="87" customFormat="1" x14ac:dyDescent="0.3">
      <c r="A13" s="83"/>
      <c r="B13" s="83"/>
      <c r="C13" s="143">
        <f t="shared" si="0"/>
        <v>0</v>
      </c>
      <c r="D13" s="83"/>
      <c r="E13" s="83"/>
      <c r="F13" s="83"/>
      <c r="G13" s="85">
        <v>7000</v>
      </c>
      <c r="H13" s="85">
        <f t="shared" si="2"/>
        <v>0</v>
      </c>
      <c r="I13" s="83"/>
      <c r="J13" s="84">
        <v>9000</v>
      </c>
      <c r="K13" s="86">
        <f t="shared" si="1"/>
        <v>0</v>
      </c>
    </row>
    <row r="14" spans="1:14" s="87" customFormat="1" x14ac:dyDescent="0.3">
      <c r="A14" s="83"/>
      <c r="B14" s="83"/>
      <c r="C14" s="143">
        <f t="shared" si="0"/>
        <v>0</v>
      </c>
      <c r="D14" s="83"/>
      <c r="E14" s="83"/>
      <c r="F14" s="83"/>
      <c r="G14" s="85">
        <v>7000</v>
      </c>
      <c r="H14" s="85">
        <f t="shared" si="2"/>
        <v>0</v>
      </c>
      <c r="I14" s="83"/>
      <c r="J14" s="84">
        <v>9000</v>
      </c>
      <c r="K14" s="86">
        <f t="shared" si="1"/>
        <v>0</v>
      </c>
    </row>
    <row r="15" spans="1:14" s="87" customFormat="1" x14ac:dyDescent="0.3">
      <c r="A15" s="83"/>
      <c r="B15" s="83"/>
      <c r="C15" s="143">
        <f t="shared" si="0"/>
        <v>0</v>
      </c>
      <c r="D15" s="83"/>
      <c r="E15" s="83"/>
      <c r="F15" s="83"/>
      <c r="G15" s="85">
        <v>7000</v>
      </c>
      <c r="H15" s="85">
        <f t="shared" si="2"/>
        <v>0</v>
      </c>
      <c r="I15" s="83"/>
      <c r="J15" s="84">
        <v>9000</v>
      </c>
      <c r="K15" s="86">
        <f t="shared" si="1"/>
        <v>0</v>
      </c>
    </row>
    <row r="16" spans="1:14" s="87" customFormat="1" x14ac:dyDescent="0.3">
      <c r="A16" s="83"/>
      <c r="B16" s="83"/>
      <c r="C16" s="143">
        <f t="shared" si="0"/>
        <v>0</v>
      </c>
      <c r="D16" s="83"/>
      <c r="E16" s="83"/>
      <c r="F16" s="83"/>
      <c r="G16" s="85">
        <v>7000</v>
      </c>
      <c r="H16" s="85">
        <f t="shared" si="2"/>
        <v>0</v>
      </c>
      <c r="I16" s="83"/>
      <c r="J16" s="84">
        <v>9000</v>
      </c>
      <c r="K16" s="86">
        <f t="shared" si="1"/>
        <v>0</v>
      </c>
    </row>
    <row r="17" spans="1:11" s="87" customFormat="1" x14ac:dyDescent="0.3">
      <c r="A17" s="83"/>
      <c r="B17" s="83"/>
      <c r="C17" s="143">
        <f t="shared" si="0"/>
        <v>0</v>
      </c>
      <c r="D17" s="83"/>
      <c r="E17" s="83"/>
      <c r="F17" s="83"/>
      <c r="G17" s="85">
        <v>7000</v>
      </c>
      <c r="H17" s="85">
        <f t="shared" si="2"/>
        <v>0</v>
      </c>
      <c r="I17" s="83"/>
      <c r="J17" s="84">
        <v>9000</v>
      </c>
      <c r="K17" s="86">
        <f t="shared" si="1"/>
        <v>0</v>
      </c>
    </row>
    <row r="18" spans="1:11" s="87" customFormat="1" x14ac:dyDescent="0.3">
      <c r="A18" s="83"/>
      <c r="B18" s="83"/>
      <c r="C18" s="143">
        <f t="shared" si="0"/>
        <v>0</v>
      </c>
      <c r="D18" s="83"/>
      <c r="E18" s="83"/>
      <c r="F18" s="83"/>
      <c r="G18" s="85">
        <v>7000</v>
      </c>
      <c r="H18" s="85">
        <f t="shared" si="2"/>
        <v>0</v>
      </c>
      <c r="I18" s="83"/>
      <c r="J18" s="84">
        <v>9000</v>
      </c>
      <c r="K18" s="86">
        <f t="shared" si="1"/>
        <v>0</v>
      </c>
    </row>
    <row r="19" spans="1:11" s="87" customFormat="1" x14ac:dyDescent="0.3">
      <c r="A19" s="83"/>
      <c r="B19" s="83"/>
      <c r="C19" s="143">
        <f t="shared" si="0"/>
        <v>0</v>
      </c>
      <c r="D19" s="83"/>
      <c r="E19" s="83"/>
      <c r="F19" s="83"/>
      <c r="G19" s="85">
        <v>7000</v>
      </c>
      <c r="H19" s="85">
        <f t="shared" si="2"/>
        <v>0</v>
      </c>
      <c r="I19" s="83"/>
      <c r="J19" s="84">
        <v>9000</v>
      </c>
      <c r="K19" s="86">
        <f t="shared" si="1"/>
        <v>0</v>
      </c>
    </row>
    <row r="20" spans="1:11" s="87" customFormat="1" x14ac:dyDescent="0.3">
      <c r="A20" s="83"/>
      <c r="B20" s="83"/>
      <c r="C20" s="143">
        <f t="shared" si="0"/>
        <v>0</v>
      </c>
      <c r="D20" s="83"/>
      <c r="E20" s="83"/>
      <c r="F20" s="83"/>
      <c r="G20" s="85">
        <v>7000</v>
      </c>
      <c r="H20" s="85">
        <f t="shared" si="2"/>
        <v>0</v>
      </c>
      <c r="I20" s="83"/>
      <c r="J20" s="84">
        <v>9000</v>
      </c>
      <c r="K20" s="86">
        <f t="shared" si="1"/>
        <v>0</v>
      </c>
    </row>
    <row r="21" spans="1:11" s="87" customFormat="1" x14ac:dyDescent="0.3">
      <c r="A21" s="83"/>
      <c r="B21" s="83"/>
      <c r="C21" s="143">
        <f t="shared" si="0"/>
        <v>0</v>
      </c>
      <c r="D21" s="83"/>
      <c r="E21" s="83"/>
      <c r="F21" s="83"/>
      <c r="G21" s="85">
        <v>7000</v>
      </c>
      <c r="H21" s="85">
        <f t="shared" si="2"/>
        <v>0</v>
      </c>
      <c r="I21" s="83"/>
      <c r="J21" s="84">
        <v>9000</v>
      </c>
      <c r="K21" s="86">
        <f t="shared" si="1"/>
        <v>0</v>
      </c>
    </row>
    <row r="22" spans="1:11" s="87" customFormat="1" x14ac:dyDescent="0.3">
      <c r="A22" s="83"/>
      <c r="B22" s="83"/>
      <c r="C22" s="143">
        <f t="shared" si="0"/>
        <v>0</v>
      </c>
      <c r="D22" s="83"/>
      <c r="E22" s="83"/>
      <c r="F22" s="83"/>
      <c r="G22" s="85">
        <v>7000</v>
      </c>
      <c r="H22" s="85">
        <f t="shared" si="2"/>
        <v>0</v>
      </c>
      <c r="I22" s="83"/>
      <c r="J22" s="84">
        <v>9000</v>
      </c>
      <c r="K22" s="86">
        <f t="shared" si="1"/>
        <v>0</v>
      </c>
    </row>
    <row r="23" spans="1:11" s="87" customFormat="1" x14ac:dyDescent="0.3">
      <c r="A23" s="83"/>
      <c r="B23" s="83"/>
      <c r="C23" s="143">
        <f t="shared" si="0"/>
        <v>0</v>
      </c>
      <c r="D23" s="83"/>
      <c r="E23" s="83"/>
      <c r="F23" s="83"/>
      <c r="G23" s="85">
        <v>7000</v>
      </c>
      <c r="H23" s="85">
        <f t="shared" si="2"/>
        <v>0</v>
      </c>
      <c r="I23" s="83"/>
      <c r="J23" s="84">
        <v>9000</v>
      </c>
      <c r="K23" s="86">
        <f t="shared" si="1"/>
        <v>0</v>
      </c>
    </row>
    <row r="24" spans="1:11" s="87" customFormat="1" x14ac:dyDescent="0.3">
      <c r="A24" s="83"/>
      <c r="B24" s="83"/>
      <c r="C24" s="143">
        <f t="shared" si="0"/>
        <v>0</v>
      </c>
      <c r="D24" s="83"/>
      <c r="E24" s="83"/>
      <c r="F24" s="83"/>
      <c r="G24" s="85">
        <v>7000</v>
      </c>
      <c r="H24" s="85">
        <f t="shared" si="2"/>
        <v>0</v>
      </c>
      <c r="I24" s="83"/>
      <c r="J24" s="84">
        <v>9000</v>
      </c>
      <c r="K24" s="86">
        <f t="shared" si="1"/>
        <v>0</v>
      </c>
    </row>
    <row r="25" spans="1:11" s="87" customFormat="1" x14ac:dyDescent="0.3">
      <c r="A25" s="83"/>
      <c r="B25" s="83"/>
      <c r="C25" s="143">
        <f t="shared" si="0"/>
        <v>0</v>
      </c>
      <c r="D25" s="83"/>
      <c r="E25" s="83"/>
      <c r="F25" s="83"/>
      <c r="G25" s="85">
        <v>7000</v>
      </c>
      <c r="H25" s="85">
        <f t="shared" si="2"/>
        <v>0</v>
      </c>
      <c r="I25" s="83"/>
      <c r="J25" s="84">
        <v>9000</v>
      </c>
      <c r="K25" s="86">
        <f t="shared" si="1"/>
        <v>0</v>
      </c>
    </row>
    <row r="26" spans="1:11" s="87" customFormat="1" x14ac:dyDescent="0.3">
      <c r="A26" s="83"/>
      <c r="B26" s="83"/>
      <c r="C26" s="143">
        <f t="shared" si="0"/>
        <v>0</v>
      </c>
      <c r="D26" s="83"/>
      <c r="E26" s="83"/>
      <c r="F26" s="83"/>
      <c r="G26" s="85">
        <v>7000</v>
      </c>
      <c r="H26" s="85">
        <f t="shared" si="2"/>
        <v>0</v>
      </c>
      <c r="I26" s="83"/>
      <c r="J26" s="84">
        <v>9000</v>
      </c>
      <c r="K26" s="86">
        <f t="shared" si="1"/>
        <v>0</v>
      </c>
    </row>
    <row r="27" spans="1:11" s="87" customFormat="1" x14ac:dyDescent="0.3">
      <c r="A27" s="83"/>
      <c r="B27" s="83"/>
      <c r="C27" s="143">
        <f t="shared" si="0"/>
        <v>0</v>
      </c>
      <c r="D27" s="83"/>
      <c r="E27" s="83"/>
      <c r="F27" s="83"/>
      <c r="G27" s="85">
        <v>7000</v>
      </c>
      <c r="H27" s="85">
        <f t="shared" si="2"/>
        <v>0</v>
      </c>
      <c r="I27" s="83"/>
      <c r="J27" s="84">
        <v>9000</v>
      </c>
      <c r="K27" s="86">
        <f t="shared" si="1"/>
        <v>0</v>
      </c>
    </row>
    <row r="28" spans="1:11" s="87" customFormat="1" x14ac:dyDescent="0.3">
      <c r="A28" s="83"/>
      <c r="B28" s="83"/>
      <c r="C28" s="143">
        <f t="shared" si="0"/>
        <v>0</v>
      </c>
      <c r="D28" s="83"/>
      <c r="E28" s="83"/>
      <c r="F28" s="83"/>
      <c r="G28" s="85">
        <v>7000</v>
      </c>
      <c r="H28" s="85">
        <f t="shared" si="2"/>
        <v>0</v>
      </c>
      <c r="I28" s="83"/>
      <c r="J28" s="84">
        <v>9000</v>
      </c>
      <c r="K28" s="86">
        <f t="shared" si="1"/>
        <v>0</v>
      </c>
    </row>
    <row r="29" spans="1:11" s="87" customFormat="1" x14ac:dyDescent="0.3">
      <c r="A29" s="83"/>
      <c r="B29" s="83"/>
      <c r="C29" s="143">
        <f t="shared" si="0"/>
        <v>0</v>
      </c>
      <c r="D29" s="83"/>
      <c r="E29" s="83"/>
      <c r="F29" s="83"/>
      <c r="G29" s="85">
        <v>7000</v>
      </c>
      <c r="H29" s="85">
        <f t="shared" si="2"/>
        <v>0</v>
      </c>
      <c r="I29" s="83"/>
      <c r="J29" s="84">
        <v>9000</v>
      </c>
      <c r="K29" s="86">
        <f t="shared" si="1"/>
        <v>0</v>
      </c>
    </row>
    <row r="30" spans="1:11" s="87" customFormat="1" x14ac:dyDescent="0.3">
      <c r="A30" s="83"/>
      <c r="B30" s="83"/>
      <c r="C30" s="143">
        <f t="shared" si="0"/>
        <v>0</v>
      </c>
      <c r="D30" s="83"/>
      <c r="E30" s="83"/>
      <c r="F30" s="83"/>
      <c r="G30" s="85">
        <v>7000</v>
      </c>
      <c r="H30" s="85">
        <f t="shared" si="2"/>
        <v>0</v>
      </c>
      <c r="I30" s="83"/>
      <c r="J30" s="84">
        <v>9000</v>
      </c>
      <c r="K30" s="86">
        <f t="shared" si="1"/>
        <v>0</v>
      </c>
    </row>
    <row r="31" spans="1:11" s="87" customFormat="1" x14ac:dyDescent="0.3">
      <c r="A31" s="83"/>
      <c r="B31" s="83"/>
      <c r="C31" s="143">
        <f t="shared" si="0"/>
        <v>0</v>
      </c>
      <c r="D31" s="83"/>
      <c r="E31" s="83"/>
      <c r="F31" s="83"/>
      <c r="G31" s="85">
        <v>7000</v>
      </c>
      <c r="H31" s="85">
        <f t="shared" si="2"/>
        <v>0</v>
      </c>
      <c r="I31" s="83"/>
      <c r="J31" s="84">
        <v>9000</v>
      </c>
      <c r="K31" s="86">
        <f t="shared" si="1"/>
        <v>0</v>
      </c>
    </row>
    <row r="32" spans="1:11" s="87" customFormat="1" x14ac:dyDescent="0.3">
      <c r="A32" s="83"/>
      <c r="B32" s="83"/>
      <c r="C32" s="143">
        <f t="shared" si="0"/>
        <v>0</v>
      </c>
      <c r="D32" s="83"/>
      <c r="E32" s="83"/>
      <c r="F32" s="83"/>
      <c r="G32" s="85">
        <v>7000</v>
      </c>
      <c r="H32" s="85">
        <f t="shared" si="2"/>
        <v>0</v>
      </c>
      <c r="I32" s="83"/>
      <c r="J32" s="84">
        <v>9000</v>
      </c>
      <c r="K32" s="86">
        <f t="shared" si="1"/>
        <v>0</v>
      </c>
    </row>
    <row r="33" spans="1:11" s="87" customFormat="1" x14ac:dyDescent="0.3">
      <c r="A33" s="83"/>
      <c r="B33" s="83"/>
      <c r="C33" s="143">
        <f t="shared" si="0"/>
        <v>0</v>
      </c>
      <c r="D33" s="83"/>
      <c r="E33" s="83"/>
      <c r="F33" s="83"/>
      <c r="G33" s="85">
        <v>7000</v>
      </c>
      <c r="H33" s="85">
        <f t="shared" si="2"/>
        <v>0</v>
      </c>
      <c r="I33" s="83"/>
      <c r="J33" s="84">
        <v>9000</v>
      </c>
      <c r="K33" s="86">
        <f t="shared" si="1"/>
        <v>0</v>
      </c>
    </row>
    <row r="34" spans="1:11" s="87" customFormat="1" x14ac:dyDescent="0.3">
      <c r="A34" s="83"/>
      <c r="B34" s="83"/>
      <c r="C34" s="143">
        <f t="shared" si="0"/>
        <v>0</v>
      </c>
      <c r="D34" s="83"/>
      <c r="E34" s="83"/>
      <c r="F34" s="83"/>
      <c r="G34" s="85">
        <v>7000</v>
      </c>
      <c r="H34" s="85">
        <f t="shared" si="2"/>
        <v>0</v>
      </c>
      <c r="I34" s="83"/>
      <c r="J34" s="84">
        <v>9000</v>
      </c>
      <c r="K34" s="86">
        <f t="shared" si="1"/>
        <v>0</v>
      </c>
    </row>
    <row r="35" spans="1:11" s="87" customFormat="1" x14ac:dyDescent="0.3">
      <c r="A35" s="83"/>
      <c r="B35" s="83"/>
      <c r="C35" s="143">
        <f t="shared" si="0"/>
        <v>0</v>
      </c>
      <c r="D35" s="83"/>
      <c r="E35" s="83"/>
      <c r="F35" s="83"/>
      <c r="G35" s="85">
        <v>7000</v>
      </c>
      <c r="H35" s="85">
        <f t="shared" si="2"/>
        <v>0</v>
      </c>
      <c r="I35" s="83"/>
      <c r="J35" s="84">
        <v>9000</v>
      </c>
      <c r="K35" s="86">
        <f t="shared" si="1"/>
        <v>0</v>
      </c>
    </row>
    <row r="36" spans="1:11" s="87" customFormat="1" x14ac:dyDescent="0.3">
      <c r="A36" s="83"/>
      <c r="B36" s="83"/>
      <c r="C36" s="143">
        <f t="shared" si="0"/>
        <v>0</v>
      </c>
      <c r="D36" s="83"/>
      <c r="E36" s="83"/>
      <c r="F36" s="83"/>
      <c r="G36" s="85">
        <v>7000</v>
      </c>
      <c r="H36" s="85">
        <f t="shared" si="2"/>
        <v>0</v>
      </c>
      <c r="I36" s="83"/>
      <c r="J36" s="84">
        <v>9000</v>
      </c>
      <c r="K36" s="86">
        <f t="shared" si="1"/>
        <v>0</v>
      </c>
    </row>
    <row r="37" spans="1:11" s="87" customFormat="1" x14ac:dyDescent="0.3">
      <c r="A37" s="83"/>
      <c r="B37" s="83"/>
      <c r="C37" s="143">
        <f t="shared" si="0"/>
        <v>0</v>
      </c>
      <c r="D37" s="83"/>
      <c r="E37" s="83"/>
      <c r="F37" s="83"/>
      <c r="G37" s="85">
        <v>7000</v>
      </c>
      <c r="H37" s="85">
        <f t="shared" si="2"/>
        <v>0</v>
      </c>
      <c r="I37" s="83"/>
      <c r="J37" s="84">
        <v>9000</v>
      </c>
      <c r="K37" s="86">
        <f t="shared" si="1"/>
        <v>0</v>
      </c>
    </row>
    <row r="38" spans="1:11" s="87" customFormat="1" x14ac:dyDescent="0.3">
      <c r="A38" s="83"/>
      <c r="B38" s="83"/>
      <c r="C38" s="143">
        <f t="shared" si="0"/>
        <v>0</v>
      </c>
      <c r="D38" s="83"/>
      <c r="E38" s="83"/>
      <c r="F38" s="83"/>
      <c r="G38" s="85">
        <v>7000</v>
      </c>
      <c r="H38" s="85">
        <f t="shared" si="2"/>
        <v>0</v>
      </c>
      <c r="I38" s="83"/>
      <c r="J38" s="84">
        <v>9000</v>
      </c>
      <c r="K38" s="86">
        <f t="shared" si="1"/>
        <v>0</v>
      </c>
    </row>
    <row r="39" spans="1:11" s="87" customFormat="1" x14ac:dyDescent="0.3">
      <c r="A39" s="83"/>
      <c r="B39" s="83"/>
      <c r="C39" s="143">
        <f t="shared" si="0"/>
        <v>0</v>
      </c>
      <c r="D39" s="83"/>
      <c r="E39" s="83"/>
      <c r="F39" s="83"/>
      <c r="G39" s="85">
        <v>7000</v>
      </c>
      <c r="H39" s="85">
        <f t="shared" si="2"/>
        <v>0</v>
      </c>
      <c r="I39" s="83"/>
      <c r="J39" s="84">
        <v>9000</v>
      </c>
      <c r="K39" s="86">
        <f t="shared" si="1"/>
        <v>0</v>
      </c>
    </row>
    <row r="40" spans="1:11" s="87" customFormat="1" x14ac:dyDescent="0.3">
      <c r="A40" s="92"/>
      <c r="B40" s="92"/>
      <c r="C40" s="143">
        <f t="shared" si="0"/>
        <v>0</v>
      </c>
      <c r="D40" s="83"/>
      <c r="E40" s="83"/>
      <c r="F40" s="83"/>
      <c r="G40" s="85">
        <v>7000</v>
      </c>
      <c r="H40" s="85">
        <f t="shared" si="2"/>
        <v>0</v>
      </c>
      <c r="I40" s="83"/>
      <c r="J40" s="84">
        <v>9000</v>
      </c>
      <c r="K40" s="86">
        <f t="shared" si="1"/>
        <v>0</v>
      </c>
    </row>
    <row r="41" spans="1:11" s="87" customFormat="1" x14ac:dyDescent="0.3">
      <c r="A41" s="92"/>
      <c r="B41" s="92"/>
      <c r="C41" s="143">
        <f t="shared" si="0"/>
        <v>0</v>
      </c>
      <c r="D41" s="83"/>
      <c r="E41" s="83"/>
      <c r="F41" s="83"/>
      <c r="G41" s="85">
        <v>7000</v>
      </c>
      <c r="H41" s="85">
        <f t="shared" si="2"/>
        <v>0</v>
      </c>
      <c r="I41" s="83"/>
      <c r="J41" s="84">
        <v>9000</v>
      </c>
      <c r="K41" s="86">
        <f t="shared" si="1"/>
        <v>0</v>
      </c>
    </row>
    <row r="42" spans="1:11" s="87" customFormat="1" x14ac:dyDescent="0.3">
      <c r="A42" s="92"/>
      <c r="B42" s="92"/>
      <c r="C42" s="143">
        <f t="shared" si="0"/>
        <v>0</v>
      </c>
      <c r="D42" s="83"/>
      <c r="E42" s="83"/>
      <c r="F42" s="83"/>
      <c r="G42" s="85">
        <v>7000</v>
      </c>
      <c r="H42" s="85">
        <f t="shared" si="2"/>
        <v>0</v>
      </c>
      <c r="I42" s="83"/>
      <c r="J42" s="84">
        <v>9000</v>
      </c>
      <c r="K42" s="86">
        <f t="shared" si="1"/>
        <v>0</v>
      </c>
    </row>
    <row r="43" spans="1:11" s="87" customFormat="1" x14ac:dyDescent="0.3">
      <c r="A43" s="92"/>
      <c r="B43" s="92"/>
      <c r="C43" s="143">
        <f t="shared" si="0"/>
        <v>0</v>
      </c>
      <c r="D43" s="83"/>
      <c r="E43" s="83"/>
      <c r="F43" s="83"/>
      <c r="G43" s="85">
        <v>7000</v>
      </c>
      <c r="H43" s="85">
        <f t="shared" si="2"/>
        <v>0</v>
      </c>
      <c r="I43" s="83"/>
      <c r="J43" s="84">
        <v>9000</v>
      </c>
      <c r="K43" s="86">
        <f t="shared" si="1"/>
        <v>0</v>
      </c>
    </row>
    <row r="44" spans="1:11" s="87" customFormat="1" x14ac:dyDescent="0.3">
      <c r="A44" s="92"/>
      <c r="B44" s="92"/>
      <c r="C44" s="143">
        <f t="shared" si="0"/>
        <v>0</v>
      </c>
      <c r="D44" s="83"/>
      <c r="E44" s="83"/>
      <c r="F44" s="83"/>
      <c r="G44" s="85">
        <v>7000</v>
      </c>
      <c r="H44" s="85">
        <f t="shared" si="2"/>
        <v>0</v>
      </c>
      <c r="I44" s="83"/>
      <c r="J44" s="84">
        <v>9000</v>
      </c>
      <c r="K44" s="86">
        <f t="shared" si="1"/>
        <v>0</v>
      </c>
    </row>
    <row r="45" spans="1:11" s="87" customFormat="1" x14ac:dyDescent="0.3">
      <c r="A45" s="92"/>
      <c r="B45" s="92"/>
      <c r="C45" s="143">
        <f t="shared" si="0"/>
        <v>0</v>
      </c>
      <c r="D45" s="83"/>
      <c r="E45" s="83"/>
      <c r="F45" s="83"/>
      <c r="G45" s="85">
        <v>7000</v>
      </c>
      <c r="H45" s="85">
        <f t="shared" si="2"/>
        <v>0</v>
      </c>
      <c r="I45" s="83"/>
      <c r="J45" s="84">
        <v>9000</v>
      </c>
      <c r="K45" s="86">
        <f t="shared" si="1"/>
        <v>0</v>
      </c>
    </row>
    <row r="46" spans="1:11" s="87" customFormat="1" x14ac:dyDescent="0.3">
      <c r="A46" s="92"/>
      <c r="B46" s="92"/>
      <c r="C46" s="143">
        <f t="shared" si="0"/>
        <v>0</v>
      </c>
      <c r="D46" s="83"/>
      <c r="E46" s="83"/>
      <c r="F46" s="83"/>
      <c r="G46" s="85">
        <v>7000</v>
      </c>
      <c r="H46" s="85">
        <f t="shared" si="2"/>
        <v>0</v>
      </c>
      <c r="I46" s="83"/>
      <c r="J46" s="84">
        <v>9000</v>
      </c>
      <c r="K46" s="86">
        <f t="shared" si="1"/>
        <v>0</v>
      </c>
    </row>
    <row r="47" spans="1:11" s="87" customFormat="1" x14ac:dyDescent="0.3">
      <c r="A47" s="92"/>
      <c r="B47" s="92"/>
      <c r="C47" s="143">
        <f t="shared" si="0"/>
        <v>0</v>
      </c>
      <c r="D47" s="83"/>
      <c r="E47" s="83"/>
      <c r="F47" s="83"/>
      <c r="G47" s="85">
        <v>7000</v>
      </c>
      <c r="H47" s="85">
        <f t="shared" si="2"/>
        <v>0</v>
      </c>
      <c r="I47" s="83"/>
      <c r="J47" s="84">
        <v>9000</v>
      </c>
      <c r="K47" s="86">
        <f t="shared" si="1"/>
        <v>0</v>
      </c>
    </row>
    <row r="48" spans="1:11" s="87" customFormat="1" x14ac:dyDescent="0.3">
      <c r="A48" s="92"/>
      <c r="B48" s="92"/>
      <c r="C48" s="143">
        <f t="shared" si="0"/>
        <v>0</v>
      </c>
      <c r="D48" s="83"/>
      <c r="E48" s="83"/>
      <c r="F48" s="83"/>
      <c r="G48" s="85">
        <v>7000</v>
      </c>
      <c r="H48" s="85">
        <f t="shared" si="2"/>
        <v>0</v>
      </c>
      <c r="I48" s="83"/>
      <c r="J48" s="84">
        <v>9000</v>
      </c>
      <c r="K48" s="86">
        <f t="shared" si="1"/>
        <v>0</v>
      </c>
    </row>
    <row r="49" spans="1:11" s="87" customFormat="1" x14ac:dyDescent="0.3">
      <c r="A49" s="92"/>
      <c r="B49" s="92"/>
      <c r="C49" s="143">
        <f t="shared" si="0"/>
        <v>0</v>
      </c>
      <c r="D49" s="83"/>
      <c r="E49" s="83"/>
      <c r="F49" s="83"/>
      <c r="G49" s="85">
        <v>7000</v>
      </c>
      <c r="H49" s="85">
        <f t="shared" si="2"/>
        <v>0</v>
      </c>
      <c r="I49" s="83"/>
      <c r="J49" s="84">
        <v>9000</v>
      </c>
      <c r="K49" s="86">
        <f t="shared" si="1"/>
        <v>0</v>
      </c>
    </row>
    <row r="50" spans="1:11" s="87" customFormat="1" x14ac:dyDescent="0.3">
      <c r="A50" s="92"/>
      <c r="B50" s="92"/>
      <c r="C50" s="143">
        <f t="shared" si="0"/>
        <v>0</v>
      </c>
      <c r="D50" s="83"/>
      <c r="E50" s="83"/>
      <c r="F50" s="83"/>
      <c r="G50" s="85">
        <v>7000</v>
      </c>
      <c r="H50" s="85">
        <f t="shared" si="2"/>
        <v>0</v>
      </c>
      <c r="I50" s="83"/>
      <c r="J50" s="84">
        <v>9000</v>
      </c>
      <c r="K50" s="86">
        <f t="shared" si="1"/>
        <v>0</v>
      </c>
    </row>
    <row r="51" spans="1:11" s="87" customFormat="1" x14ac:dyDescent="0.3">
      <c r="A51" s="92"/>
      <c r="B51" s="92"/>
      <c r="C51" s="143">
        <f t="shared" si="0"/>
        <v>0</v>
      </c>
      <c r="D51" s="83"/>
      <c r="E51" s="83"/>
      <c r="F51" s="83"/>
      <c r="G51" s="85">
        <v>7000</v>
      </c>
      <c r="H51" s="85">
        <f t="shared" si="2"/>
        <v>0</v>
      </c>
      <c r="I51" s="83"/>
      <c r="J51" s="84">
        <v>9000</v>
      </c>
      <c r="K51" s="86">
        <f t="shared" si="1"/>
        <v>0</v>
      </c>
    </row>
    <row r="52" spans="1:11" s="87" customFormat="1" x14ac:dyDescent="0.3">
      <c r="A52" s="92"/>
      <c r="B52" s="92"/>
      <c r="C52" s="143">
        <f t="shared" si="0"/>
        <v>0</v>
      </c>
      <c r="D52" s="83"/>
      <c r="E52" s="83"/>
      <c r="F52" s="83"/>
      <c r="G52" s="85">
        <v>7000</v>
      </c>
      <c r="H52" s="85">
        <f t="shared" si="2"/>
        <v>0</v>
      </c>
      <c r="I52" s="83"/>
      <c r="J52" s="84">
        <v>9000</v>
      </c>
      <c r="K52" s="86">
        <f t="shared" si="1"/>
        <v>0</v>
      </c>
    </row>
    <row r="53" spans="1:11" s="87" customFormat="1" x14ac:dyDescent="0.3">
      <c r="A53" s="92"/>
      <c r="B53" s="92"/>
      <c r="C53" s="143">
        <f t="shared" si="0"/>
        <v>0</v>
      </c>
      <c r="D53" s="83"/>
      <c r="E53" s="83"/>
      <c r="F53" s="83"/>
      <c r="G53" s="85">
        <v>7000</v>
      </c>
      <c r="H53" s="85">
        <f t="shared" si="2"/>
        <v>0</v>
      </c>
      <c r="I53" s="83"/>
      <c r="J53" s="84">
        <v>9000</v>
      </c>
      <c r="K53" s="86">
        <f t="shared" si="1"/>
        <v>0</v>
      </c>
    </row>
    <row r="54" spans="1:11" s="87" customFormat="1" x14ac:dyDescent="0.3">
      <c r="A54" s="92"/>
      <c r="B54" s="92"/>
      <c r="C54" s="143">
        <f t="shared" si="0"/>
        <v>0</v>
      </c>
      <c r="D54" s="83"/>
      <c r="E54" s="83"/>
      <c r="F54" s="83"/>
      <c r="G54" s="85">
        <v>7000</v>
      </c>
      <c r="H54" s="85">
        <f t="shared" si="2"/>
        <v>0</v>
      </c>
      <c r="I54" s="83"/>
      <c r="J54" s="84">
        <v>9000</v>
      </c>
      <c r="K54" s="86">
        <f t="shared" si="1"/>
        <v>0</v>
      </c>
    </row>
    <row r="55" spans="1:11" s="87" customFormat="1" x14ac:dyDescent="0.3">
      <c r="A55" s="92"/>
      <c r="B55" s="92"/>
      <c r="C55" s="143">
        <f t="shared" si="0"/>
        <v>0</v>
      </c>
      <c r="D55" s="83"/>
      <c r="E55" s="83"/>
      <c r="F55" s="83"/>
      <c r="G55" s="85">
        <v>7000</v>
      </c>
      <c r="H55" s="85">
        <f t="shared" si="2"/>
        <v>0</v>
      </c>
      <c r="I55" s="83"/>
      <c r="J55" s="84">
        <v>9000</v>
      </c>
      <c r="K55" s="86">
        <f t="shared" si="1"/>
        <v>0</v>
      </c>
    </row>
    <row r="56" spans="1:11" s="87" customFormat="1" x14ac:dyDescent="0.3">
      <c r="A56" s="92"/>
      <c r="B56" s="92"/>
      <c r="C56" s="143">
        <f t="shared" si="0"/>
        <v>0</v>
      </c>
      <c r="D56" s="83"/>
      <c r="E56" s="83"/>
      <c r="F56" s="83"/>
      <c r="G56" s="85">
        <v>7000</v>
      </c>
      <c r="H56" s="85">
        <f t="shared" si="2"/>
        <v>0</v>
      </c>
      <c r="I56" s="83"/>
      <c r="J56" s="84">
        <v>9000</v>
      </c>
      <c r="K56" s="86">
        <f t="shared" si="1"/>
        <v>0</v>
      </c>
    </row>
    <row r="57" spans="1:11" s="87" customFormat="1" x14ac:dyDescent="0.3">
      <c r="A57" s="92"/>
      <c r="B57" s="92"/>
      <c r="C57" s="143">
        <f t="shared" si="0"/>
        <v>0</v>
      </c>
      <c r="D57" s="83"/>
      <c r="E57" s="83"/>
      <c r="F57" s="83"/>
      <c r="G57" s="85">
        <v>7000</v>
      </c>
      <c r="H57" s="85">
        <f t="shared" si="2"/>
        <v>0</v>
      </c>
      <c r="I57" s="83"/>
      <c r="J57" s="84">
        <v>9000</v>
      </c>
      <c r="K57" s="86">
        <f t="shared" si="1"/>
        <v>0</v>
      </c>
    </row>
    <row r="58" spans="1:11" s="87" customFormat="1" x14ac:dyDescent="0.3">
      <c r="A58" s="92"/>
      <c r="B58" s="92"/>
      <c r="C58" s="143">
        <f t="shared" si="0"/>
        <v>0</v>
      </c>
      <c r="D58" s="83"/>
      <c r="E58" s="83"/>
      <c r="F58" s="83"/>
      <c r="G58" s="85">
        <v>7000</v>
      </c>
      <c r="H58" s="85">
        <f t="shared" si="2"/>
        <v>0</v>
      </c>
      <c r="I58" s="83"/>
      <c r="J58" s="84">
        <v>9000</v>
      </c>
      <c r="K58" s="86">
        <f t="shared" si="1"/>
        <v>0</v>
      </c>
    </row>
    <row r="59" spans="1:11" s="87" customFormat="1" x14ac:dyDescent="0.3">
      <c r="A59" s="92"/>
      <c r="B59" s="92"/>
      <c r="C59" s="143">
        <f t="shared" si="0"/>
        <v>0</v>
      </c>
      <c r="D59" s="83"/>
      <c r="E59" s="83"/>
      <c r="F59" s="83"/>
      <c r="G59" s="85">
        <v>7000</v>
      </c>
      <c r="H59" s="85">
        <f t="shared" si="2"/>
        <v>0</v>
      </c>
      <c r="I59" s="83"/>
      <c r="J59" s="84">
        <v>9000</v>
      </c>
      <c r="K59" s="86">
        <f t="shared" si="1"/>
        <v>0</v>
      </c>
    </row>
    <row r="60" spans="1:11" s="87" customFormat="1" x14ac:dyDescent="0.3">
      <c r="A60" s="83"/>
      <c r="B60" s="83"/>
      <c r="C60" s="143">
        <f t="shared" si="0"/>
        <v>0</v>
      </c>
      <c r="D60" s="83"/>
      <c r="E60" s="83"/>
      <c r="F60" s="83"/>
      <c r="G60" s="85">
        <v>7000</v>
      </c>
      <c r="H60" s="85">
        <f t="shared" si="2"/>
        <v>0</v>
      </c>
      <c r="I60" s="83"/>
      <c r="J60" s="84">
        <v>9000</v>
      </c>
      <c r="K60" s="86">
        <f t="shared" si="1"/>
        <v>0</v>
      </c>
    </row>
    <row r="61" spans="1:11" s="87" customFormat="1" x14ac:dyDescent="0.3">
      <c r="A61" s="83"/>
      <c r="B61" s="83"/>
      <c r="C61" s="143">
        <f t="shared" si="0"/>
        <v>0</v>
      </c>
      <c r="D61" s="83"/>
      <c r="E61" s="83"/>
      <c r="F61" s="83"/>
      <c r="G61" s="85">
        <v>7000</v>
      </c>
      <c r="H61" s="85">
        <f t="shared" si="2"/>
        <v>0</v>
      </c>
      <c r="I61" s="83"/>
      <c r="J61" s="84">
        <v>9000</v>
      </c>
      <c r="K61" s="86">
        <f t="shared" si="1"/>
        <v>0</v>
      </c>
    </row>
    <row r="62" spans="1:11" s="87" customFormat="1" x14ac:dyDescent="0.3">
      <c r="A62" s="83"/>
      <c r="B62" s="83"/>
      <c r="C62" s="143">
        <f t="shared" si="0"/>
        <v>0</v>
      </c>
      <c r="D62" s="83"/>
      <c r="E62" s="83"/>
      <c r="F62" s="83"/>
      <c r="G62" s="85">
        <v>7000</v>
      </c>
      <c r="H62" s="85">
        <f t="shared" si="2"/>
        <v>0</v>
      </c>
      <c r="I62" s="83"/>
      <c r="J62" s="84">
        <v>9000</v>
      </c>
      <c r="K62" s="86">
        <f t="shared" si="1"/>
        <v>0</v>
      </c>
    </row>
    <row r="63" spans="1:11" s="87" customFormat="1" x14ac:dyDescent="0.3">
      <c r="A63" s="83"/>
      <c r="B63" s="83"/>
      <c r="C63" s="143">
        <f t="shared" si="0"/>
        <v>0</v>
      </c>
      <c r="D63" s="83"/>
      <c r="E63" s="83"/>
      <c r="F63" s="83"/>
      <c r="G63" s="85">
        <v>7000</v>
      </c>
      <c r="H63" s="85">
        <f t="shared" si="2"/>
        <v>0</v>
      </c>
      <c r="I63" s="83"/>
      <c r="J63" s="84">
        <v>9000</v>
      </c>
      <c r="K63" s="86">
        <f t="shared" si="1"/>
        <v>0</v>
      </c>
    </row>
    <row r="64" spans="1:11" s="87" customFormat="1" x14ac:dyDescent="0.3">
      <c r="A64" s="83"/>
      <c r="B64" s="83"/>
      <c r="C64" s="143">
        <f t="shared" si="0"/>
        <v>0</v>
      </c>
      <c r="D64" s="83"/>
      <c r="E64" s="83"/>
      <c r="F64" s="83"/>
      <c r="G64" s="85">
        <v>7000</v>
      </c>
      <c r="H64" s="85">
        <f t="shared" si="2"/>
        <v>0</v>
      </c>
      <c r="I64" s="83"/>
      <c r="J64" s="84">
        <v>9000</v>
      </c>
      <c r="K64" s="86">
        <f t="shared" si="1"/>
        <v>0</v>
      </c>
    </row>
    <row r="65" spans="1:11" s="87" customFormat="1" x14ac:dyDescent="0.3">
      <c r="A65" s="83"/>
      <c r="B65" s="83"/>
      <c r="C65" s="143">
        <f t="shared" si="0"/>
        <v>0</v>
      </c>
      <c r="D65" s="83"/>
      <c r="E65" s="83"/>
      <c r="F65" s="83"/>
      <c r="G65" s="85">
        <v>7000</v>
      </c>
      <c r="H65" s="85">
        <f t="shared" si="2"/>
        <v>0</v>
      </c>
      <c r="I65" s="83"/>
      <c r="J65" s="84">
        <v>9000</v>
      </c>
      <c r="K65" s="86">
        <f t="shared" si="1"/>
        <v>0</v>
      </c>
    </row>
    <row r="66" spans="1:11" s="87" customFormat="1" x14ac:dyDescent="0.3">
      <c r="A66" s="83"/>
      <c r="B66" s="83"/>
      <c r="C66" s="143">
        <f t="shared" si="0"/>
        <v>0</v>
      </c>
      <c r="D66" s="83"/>
      <c r="E66" s="83"/>
      <c r="F66" s="83"/>
      <c r="G66" s="85">
        <v>7000</v>
      </c>
      <c r="H66" s="85">
        <f t="shared" si="2"/>
        <v>0</v>
      </c>
      <c r="I66" s="83"/>
      <c r="J66" s="84">
        <v>9000</v>
      </c>
      <c r="K66" s="86">
        <f t="shared" si="1"/>
        <v>0</v>
      </c>
    </row>
    <row r="67" spans="1:11" s="87" customFormat="1" x14ac:dyDescent="0.3">
      <c r="A67" s="83"/>
      <c r="B67" s="83"/>
      <c r="C67" s="143">
        <f t="shared" si="0"/>
        <v>0</v>
      </c>
      <c r="D67" s="83"/>
      <c r="E67" s="83"/>
      <c r="F67" s="83"/>
      <c r="G67" s="85">
        <v>7000</v>
      </c>
      <c r="H67" s="85">
        <f t="shared" si="2"/>
        <v>0</v>
      </c>
      <c r="I67" s="83"/>
      <c r="J67" s="84">
        <v>9000</v>
      </c>
      <c r="K67" s="86">
        <f t="shared" si="1"/>
        <v>0</v>
      </c>
    </row>
    <row r="68" spans="1:11" s="87" customFormat="1" x14ac:dyDescent="0.3">
      <c r="A68" s="83"/>
      <c r="B68" s="83"/>
      <c r="C68" s="143">
        <f t="shared" si="0"/>
        <v>0</v>
      </c>
      <c r="D68" s="83"/>
      <c r="E68" s="83"/>
      <c r="F68" s="83"/>
      <c r="G68" s="85">
        <v>7000</v>
      </c>
      <c r="H68" s="85">
        <f t="shared" si="2"/>
        <v>0</v>
      </c>
      <c r="I68" s="83"/>
      <c r="J68" s="84">
        <v>9000</v>
      </c>
      <c r="K68" s="86">
        <f t="shared" si="1"/>
        <v>0</v>
      </c>
    </row>
    <row r="69" spans="1:11" s="87" customFormat="1" x14ac:dyDescent="0.3">
      <c r="A69" s="83"/>
      <c r="B69" s="83"/>
      <c r="C69" s="143">
        <f t="shared" si="0"/>
        <v>0</v>
      </c>
      <c r="D69" s="83"/>
      <c r="E69" s="83"/>
      <c r="F69" s="83"/>
      <c r="G69" s="85">
        <v>7000</v>
      </c>
      <c r="H69" s="85">
        <f t="shared" si="2"/>
        <v>0</v>
      </c>
      <c r="I69" s="83"/>
      <c r="J69" s="84">
        <v>9000</v>
      </c>
      <c r="K69" s="86">
        <f t="shared" si="1"/>
        <v>0</v>
      </c>
    </row>
    <row r="70" spans="1:11" s="87" customFormat="1" x14ac:dyDescent="0.3">
      <c r="C70" s="93"/>
      <c r="G70" s="93"/>
      <c r="H70" s="93"/>
      <c r="J70" s="93"/>
      <c r="K70" s="93"/>
    </row>
    <row r="71" spans="1:11" s="87" customFormat="1" x14ac:dyDescent="0.3">
      <c r="B71" s="114"/>
      <c r="C71" s="115"/>
      <c r="D71" s="114"/>
      <c r="E71" s="114"/>
      <c r="F71" s="114"/>
      <c r="G71" s="115"/>
      <c r="H71" s="115"/>
      <c r="I71" s="114"/>
      <c r="J71" s="115"/>
      <c r="K71" s="115"/>
    </row>
    <row r="72" spans="1:11" ht="15" thickBot="1" x14ac:dyDescent="0.35">
      <c r="B72" s="116"/>
      <c r="C72" s="117"/>
      <c r="D72" s="136"/>
      <c r="E72" s="81"/>
      <c r="F72" s="81"/>
      <c r="G72" s="119"/>
      <c r="H72" s="120"/>
      <c r="I72" s="121"/>
      <c r="J72" s="120"/>
      <c r="K72" s="120"/>
    </row>
    <row r="73" spans="1:11" x14ac:dyDescent="0.3">
      <c r="B73" s="163" t="s">
        <v>27</v>
      </c>
      <c r="C73" s="163"/>
      <c r="D73" s="136"/>
      <c r="E73" s="136"/>
      <c r="F73" s="122"/>
      <c r="G73" s="119"/>
      <c r="H73" s="163" t="s">
        <v>29</v>
      </c>
      <c r="I73" s="163"/>
      <c r="J73" s="163"/>
      <c r="K73" s="163"/>
    </row>
    <row r="74" spans="1:11" x14ac:dyDescent="0.3">
      <c r="B74" s="164" t="s">
        <v>28</v>
      </c>
      <c r="C74" s="164"/>
      <c r="D74" s="136"/>
      <c r="E74" s="81"/>
      <c r="F74" s="81"/>
      <c r="G74" s="119"/>
      <c r="H74" s="165" t="s">
        <v>30</v>
      </c>
      <c r="I74" s="165"/>
      <c r="J74" s="165"/>
      <c r="K74" s="165"/>
    </row>
    <row r="75" spans="1:11" x14ac:dyDescent="0.3">
      <c r="B75" s="81"/>
      <c r="C75" s="122"/>
      <c r="D75" s="136"/>
      <c r="E75" s="81"/>
      <c r="F75" s="81"/>
      <c r="G75" s="119"/>
      <c r="H75" s="136"/>
      <c r="I75" s="122"/>
      <c r="J75" s="119"/>
      <c r="K75" s="119"/>
    </row>
    <row r="76" spans="1:11" x14ac:dyDescent="0.3">
      <c r="C76" s="45"/>
      <c r="D76" s="44"/>
    </row>
    <row r="77" spans="1:11" x14ac:dyDescent="0.3">
      <c r="G77" s="78"/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4"/>
  <dimension ref="A1:N77"/>
  <sheetViews>
    <sheetView zoomScaleNormal="100" workbookViewId="0">
      <pane xSplit="1" topLeftCell="B1" activePane="topRight" state="frozen"/>
      <selection pane="topRight" activeCell="I79" sqref="I79"/>
    </sheetView>
  </sheetViews>
  <sheetFormatPr baseColWidth="10" defaultRowHeight="14.4" x14ac:dyDescent="0.3"/>
  <cols>
    <col min="1" max="1" width="11.44140625" style="78"/>
    <col min="2" max="2" width="31.109375" style="78" customWidth="1"/>
    <col min="3" max="3" width="13.33203125" style="79" customWidth="1"/>
    <col min="4" max="4" width="11.44140625" style="78" customWidth="1"/>
    <col min="5" max="5" width="11.109375" style="78" customWidth="1"/>
    <col min="6" max="6" width="11.5546875" style="78" customWidth="1"/>
    <col min="7" max="7" width="8.6640625" style="79" customWidth="1"/>
    <col min="8" max="8" width="15.109375" style="79" customWidth="1"/>
    <col min="9" max="9" width="13.6640625" style="80" customWidth="1"/>
    <col min="10" max="10" width="8.6640625" style="79" customWidth="1"/>
    <col min="11" max="11" width="10.44140625" style="79" customWidth="1"/>
    <col min="12" max="249" width="11.44140625" style="78"/>
    <col min="250" max="250" width="30.33203125" style="78" customWidth="1"/>
    <col min="251" max="251" width="10.44140625" style="78" customWidth="1"/>
    <col min="252" max="253" width="11.44140625" style="78"/>
    <col min="254" max="254" width="10.33203125" style="78" customWidth="1"/>
    <col min="255" max="255" width="9.5546875" style="78" customWidth="1"/>
    <col min="256" max="256" width="13.109375" style="78" customWidth="1"/>
    <col min="257" max="257" width="9.88671875" style="78" customWidth="1"/>
    <col min="258" max="258" width="9.109375" style="78" customWidth="1"/>
    <col min="259" max="260" width="13.88671875" style="78" customWidth="1"/>
    <col min="261" max="261" width="10.5546875" style="78" customWidth="1"/>
    <col min="262" max="262" width="15.109375" style="78" customWidth="1"/>
    <col min="263" max="263" width="20.44140625" style="78" customWidth="1"/>
    <col min="264" max="505" width="11.44140625" style="78"/>
    <col min="506" max="506" width="30.33203125" style="78" customWidth="1"/>
    <col min="507" max="507" width="10.44140625" style="78" customWidth="1"/>
    <col min="508" max="509" width="11.44140625" style="78"/>
    <col min="510" max="510" width="10.33203125" style="78" customWidth="1"/>
    <col min="511" max="511" width="9.5546875" style="78" customWidth="1"/>
    <col min="512" max="512" width="13.109375" style="78" customWidth="1"/>
    <col min="513" max="513" width="9.88671875" style="78" customWidth="1"/>
    <col min="514" max="514" width="9.109375" style="78" customWidth="1"/>
    <col min="515" max="516" width="13.88671875" style="78" customWidth="1"/>
    <col min="517" max="517" width="10.5546875" style="78" customWidth="1"/>
    <col min="518" max="518" width="15.109375" style="78" customWidth="1"/>
    <col min="519" max="519" width="20.44140625" style="78" customWidth="1"/>
    <col min="520" max="761" width="11.44140625" style="78"/>
    <col min="762" max="762" width="30.33203125" style="78" customWidth="1"/>
    <col min="763" max="763" width="10.44140625" style="78" customWidth="1"/>
    <col min="764" max="765" width="11.44140625" style="78"/>
    <col min="766" max="766" width="10.33203125" style="78" customWidth="1"/>
    <col min="767" max="767" width="9.5546875" style="78" customWidth="1"/>
    <col min="768" max="768" width="13.109375" style="78" customWidth="1"/>
    <col min="769" max="769" width="9.88671875" style="78" customWidth="1"/>
    <col min="770" max="770" width="9.109375" style="78" customWidth="1"/>
    <col min="771" max="772" width="13.88671875" style="78" customWidth="1"/>
    <col min="773" max="773" width="10.5546875" style="78" customWidth="1"/>
    <col min="774" max="774" width="15.109375" style="78" customWidth="1"/>
    <col min="775" max="775" width="20.44140625" style="78" customWidth="1"/>
    <col min="776" max="1017" width="11.44140625" style="78"/>
    <col min="1018" max="1018" width="30.33203125" style="78" customWidth="1"/>
    <col min="1019" max="1019" width="10.44140625" style="78" customWidth="1"/>
    <col min="1020" max="1021" width="11.44140625" style="78"/>
    <col min="1022" max="1022" width="10.33203125" style="78" customWidth="1"/>
    <col min="1023" max="1023" width="9.5546875" style="78" customWidth="1"/>
    <col min="1024" max="1024" width="13.109375" style="78" customWidth="1"/>
    <col min="1025" max="1025" width="9.88671875" style="78" customWidth="1"/>
    <col min="1026" max="1026" width="9.109375" style="78" customWidth="1"/>
    <col min="1027" max="1028" width="13.88671875" style="78" customWidth="1"/>
    <col min="1029" max="1029" width="10.5546875" style="78" customWidth="1"/>
    <col min="1030" max="1030" width="15.109375" style="78" customWidth="1"/>
    <col min="1031" max="1031" width="20.44140625" style="78" customWidth="1"/>
    <col min="1032" max="1273" width="11.44140625" style="78"/>
    <col min="1274" max="1274" width="30.33203125" style="78" customWidth="1"/>
    <col min="1275" max="1275" width="10.44140625" style="78" customWidth="1"/>
    <col min="1276" max="1277" width="11.44140625" style="78"/>
    <col min="1278" max="1278" width="10.33203125" style="78" customWidth="1"/>
    <col min="1279" max="1279" width="9.5546875" style="78" customWidth="1"/>
    <col min="1280" max="1280" width="13.109375" style="78" customWidth="1"/>
    <col min="1281" max="1281" width="9.88671875" style="78" customWidth="1"/>
    <col min="1282" max="1282" width="9.109375" style="78" customWidth="1"/>
    <col min="1283" max="1284" width="13.88671875" style="78" customWidth="1"/>
    <col min="1285" max="1285" width="10.5546875" style="78" customWidth="1"/>
    <col min="1286" max="1286" width="15.109375" style="78" customWidth="1"/>
    <col min="1287" max="1287" width="20.44140625" style="78" customWidth="1"/>
    <col min="1288" max="1529" width="11.44140625" style="78"/>
    <col min="1530" max="1530" width="30.33203125" style="78" customWidth="1"/>
    <col min="1531" max="1531" width="10.44140625" style="78" customWidth="1"/>
    <col min="1532" max="1533" width="11.44140625" style="78"/>
    <col min="1534" max="1534" width="10.33203125" style="78" customWidth="1"/>
    <col min="1535" max="1535" width="9.5546875" style="78" customWidth="1"/>
    <col min="1536" max="1536" width="13.109375" style="78" customWidth="1"/>
    <col min="1537" max="1537" width="9.88671875" style="78" customWidth="1"/>
    <col min="1538" max="1538" width="9.109375" style="78" customWidth="1"/>
    <col min="1539" max="1540" width="13.88671875" style="78" customWidth="1"/>
    <col min="1541" max="1541" width="10.5546875" style="78" customWidth="1"/>
    <col min="1542" max="1542" width="15.109375" style="78" customWidth="1"/>
    <col min="1543" max="1543" width="20.44140625" style="78" customWidth="1"/>
    <col min="1544" max="1785" width="11.44140625" style="78"/>
    <col min="1786" max="1786" width="30.33203125" style="78" customWidth="1"/>
    <col min="1787" max="1787" width="10.44140625" style="78" customWidth="1"/>
    <col min="1788" max="1789" width="11.44140625" style="78"/>
    <col min="1790" max="1790" width="10.33203125" style="78" customWidth="1"/>
    <col min="1791" max="1791" width="9.5546875" style="78" customWidth="1"/>
    <col min="1792" max="1792" width="13.109375" style="78" customWidth="1"/>
    <col min="1793" max="1793" width="9.88671875" style="78" customWidth="1"/>
    <col min="1794" max="1794" width="9.109375" style="78" customWidth="1"/>
    <col min="1795" max="1796" width="13.88671875" style="78" customWidth="1"/>
    <col min="1797" max="1797" width="10.5546875" style="78" customWidth="1"/>
    <col min="1798" max="1798" width="15.109375" style="78" customWidth="1"/>
    <col min="1799" max="1799" width="20.44140625" style="78" customWidth="1"/>
    <col min="1800" max="2041" width="11.44140625" style="78"/>
    <col min="2042" max="2042" width="30.33203125" style="78" customWidth="1"/>
    <col min="2043" max="2043" width="10.44140625" style="78" customWidth="1"/>
    <col min="2044" max="2045" width="11.44140625" style="78"/>
    <col min="2046" max="2046" width="10.33203125" style="78" customWidth="1"/>
    <col min="2047" max="2047" width="9.5546875" style="78" customWidth="1"/>
    <col min="2048" max="2048" width="13.109375" style="78" customWidth="1"/>
    <col min="2049" max="2049" width="9.88671875" style="78" customWidth="1"/>
    <col min="2050" max="2050" width="9.109375" style="78" customWidth="1"/>
    <col min="2051" max="2052" width="13.88671875" style="78" customWidth="1"/>
    <col min="2053" max="2053" width="10.5546875" style="78" customWidth="1"/>
    <col min="2054" max="2054" width="15.109375" style="78" customWidth="1"/>
    <col min="2055" max="2055" width="20.44140625" style="78" customWidth="1"/>
    <col min="2056" max="2297" width="11.44140625" style="78"/>
    <col min="2298" max="2298" width="30.33203125" style="78" customWidth="1"/>
    <col min="2299" max="2299" width="10.44140625" style="78" customWidth="1"/>
    <col min="2300" max="2301" width="11.44140625" style="78"/>
    <col min="2302" max="2302" width="10.33203125" style="78" customWidth="1"/>
    <col min="2303" max="2303" width="9.5546875" style="78" customWidth="1"/>
    <col min="2304" max="2304" width="13.109375" style="78" customWidth="1"/>
    <col min="2305" max="2305" width="9.88671875" style="78" customWidth="1"/>
    <col min="2306" max="2306" width="9.109375" style="78" customWidth="1"/>
    <col min="2307" max="2308" width="13.88671875" style="78" customWidth="1"/>
    <col min="2309" max="2309" width="10.5546875" style="78" customWidth="1"/>
    <col min="2310" max="2310" width="15.109375" style="78" customWidth="1"/>
    <col min="2311" max="2311" width="20.44140625" style="78" customWidth="1"/>
    <col min="2312" max="2553" width="11.44140625" style="78"/>
    <col min="2554" max="2554" width="30.33203125" style="78" customWidth="1"/>
    <col min="2555" max="2555" width="10.44140625" style="78" customWidth="1"/>
    <col min="2556" max="2557" width="11.44140625" style="78"/>
    <col min="2558" max="2558" width="10.33203125" style="78" customWidth="1"/>
    <col min="2559" max="2559" width="9.5546875" style="78" customWidth="1"/>
    <col min="2560" max="2560" width="13.109375" style="78" customWidth="1"/>
    <col min="2561" max="2561" width="9.88671875" style="78" customWidth="1"/>
    <col min="2562" max="2562" width="9.109375" style="78" customWidth="1"/>
    <col min="2563" max="2564" width="13.88671875" style="78" customWidth="1"/>
    <col min="2565" max="2565" width="10.5546875" style="78" customWidth="1"/>
    <col min="2566" max="2566" width="15.109375" style="78" customWidth="1"/>
    <col min="2567" max="2567" width="20.44140625" style="78" customWidth="1"/>
    <col min="2568" max="2809" width="11.44140625" style="78"/>
    <col min="2810" max="2810" width="30.33203125" style="78" customWidth="1"/>
    <col min="2811" max="2811" width="10.44140625" style="78" customWidth="1"/>
    <col min="2812" max="2813" width="11.44140625" style="78"/>
    <col min="2814" max="2814" width="10.33203125" style="78" customWidth="1"/>
    <col min="2815" max="2815" width="9.5546875" style="78" customWidth="1"/>
    <col min="2816" max="2816" width="13.109375" style="78" customWidth="1"/>
    <col min="2817" max="2817" width="9.88671875" style="78" customWidth="1"/>
    <col min="2818" max="2818" width="9.109375" style="78" customWidth="1"/>
    <col min="2819" max="2820" width="13.88671875" style="78" customWidth="1"/>
    <col min="2821" max="2821" width="10.5546875" style="78" customWidth="1"/>
    <col min="2822" max="2822" width="15.109375" style="78" customWidth="1"/>
    <col min="2823" max="2823" width="20.44140625" style="78" customWidth="1"/>
    <col min="2824" max="3065" width="11.44140625" style="78"/>
    <col min="3066" max="3066" width="30.33203125" style="78" customWidth="1"/>
    <col min="3067" max="3067" width="10.44140625" style="78" customWidth="1"/>
    <col min="3068" max="3069" width="11.44140625" style="78"/>
    <col min="3070" max="3070" width="10.33203125" style="78" customWidth="1"/>
    <col min="3071" max="3071" width="9.5546875" style="78" customWidth="1"/>
    <col min="3072" max="3072" width="13.109375" style="78" customWidth="1"/>
    <col min="3073" max="3073" width="9.88671875" style="78" customWidth="1"/>
    <col min="3074" max="3074" width="9.109375" style="78" customWidth="1"/>
    <col min="3075" max="3076" width="13.88671875" style="78" customWidth="1"/>
    <col min="3077" max="3077" width="10.5546875" style="78" customWidth="1"/>
    <col min="3078" max="3078" width="15.109375" style="78" customWidth="1"/>
    <col min="3079" max="3079" width="20.44140625" style="78" customWidth="1"/>
    <col min="3080" max="3321" width="11.44140625" style="78"/>
    <col min="3322" max="3322" width="30.33203125" style="78" customWidth="1"/>
    <col min="3323" max="3323" width="10.44140625" style="78" customWidth="1"/>
    <col min="3324" max="3325" width="11.44140625" style="78"/>
    <col min="3326" max="3326" width="10.33203125" style="78" customWidth="1"/>
    <col min="3327" max="3327" width="9.5546875" style="78" customWidth="1"/>
    <col min="3328" max="3328" width="13.109375" style="78" customWidth="1"/>
    <col min="3329" max="3329" width="9.88671875" style="78" customWidth="1"/>
    <col min="3330" max="3330" width="9.109375" style="78" customWidth="1"/>
    <col min="3331" max="3332" width="13.88671875" style="78" customWidth="1"/>
    <col min="3333" max="3333" width="10.5546875" style="78" customWidth="1"/>
    <col min="3334" max="3334" width="15.109375" style="78" customWidth="1"/>
    <col min="3335" max="3335" width="20.44140625" style="78" customWidth="1"/>
    <col min="3336" max="3577" width="11.44140625" style="78"/>
    <col min="3578" max="3578" width="30.33203125" style="78" customWidth="1"/>
    <col min="3579" max="3579" width="10.44140625" style="78" customWidth="1"/>
    <col min="3580" max="3581" width="11.44140625" style="78"/>
    <col min="3582" max="3582" width="10.33203125" style="78" customWidth="1"/>
    <col min="3583" max="3583" width="9.5546875" style="78" customWidth="1"/>
    <col min="3584" max="3584" width="13.109375" style="78" customWidth="1"/>
    <col min="3585" max="3585" width="9.88671875" style="78" customWidth="1"/>
    <col min="3586" max="3586" width="9.109375" style="78" customWidth="1"/>
    <col min="3587" max="3588" width="13.88671875" style="78" customWidth="1"/>
    <col min="3589" max="3589" width="10.5546875" style="78" customWidth="1"/>
    <col min="3590" max="3590" width="15.109375" style="78" customWidth="1"/>
    <col min="3591" max="3591" width="20.44140625" style="78" customWidth="1"/>
    <col min="3592" max="3833" width="11.44140625" style="78"/>
    <col min="3834" max="3834" width="30.33203125" style="78" customWidth="1"/>
    <col min="3835" max="3835" width="10.44140625" style="78" customWidth="1"/>
    <col min="3836" max="3837" width="11.44140625" style="78"/>
    <col min="3838" max="3838" width="10.33203125" style="78" customWidth="1"/>
    <col min="3839" max="3839" width="9.5546875" style="78" customWidth="1"/>
    <col min="3840" max="3840" width="13.109375" style="78" customWidth="1"/>
    <col min="3841" max="3841" width="9.88671875" style="78" customWidth="1"/>
    <col min="3842" max="3842" width="9.109375" style="78" customWidth="1"/>
    <col min="3843" max="3844" width="13.88671875" style="78" customWidth="1"/>
    <col min="3845" max="3845" width="10.5546875" style="78" customWidth="1"/>
    <col min="3846" max="3846" width="15.109375" style="78" customWidth="1"/>
    <col min="3847" max="3847" width="20.44140625" style="78" customWidth="1"/>
    <col min="3848" max="4089" width="11.44140625" style="78"/>
    <col min="4090" max="4090" width="30.33203125" style="78" customWidth="1"/>
    <col min="4091" max="4091" width="10.44140625" style="78" customWidth="1"/>
    <col min="4092" max="4093" width="11.44140625" style="78"/>
    <col min="4094" max="4094" width="10.33203125" style="78" customWidth="1"/>
    <col min="4095" max="4095" width="9.5546875" style="78" customWidth="1"/>
    <col min="4096" max="4096" width="13.109375" style="78" customWidth="1"/>
    <col min="4097" max="4097" width="9.88671875" style="78" customWidth="1"/>
    <col min="4098" max="4098" width="9.109375" style="78" customWidth="1"/>
    <col min="4099" max="4100" width="13.88671875" style="78" customWidth="1"/>
    <col min="4101" max="4101" width="10.5546875" style="78" customWidth="1"/>
    <col min="4102" max="4102" width="15.109375" style="78" customWidth="1"/>
    <col min="4103" max="4103" width="20.44140625" style="78" customWidth="1"/>
    <col min="4104" max="4345" width="11.44140625" style="78"/>
    <col min="4346" max="4346" width="30.33203125" style="78" customWidth="1"/>
    <col min="4347" max="4347" width="10.44140625" style="78" customWidth="1"/>
    <col min="4348" max="4349" width="11.44140625" style="78"/>
    <col min="4350" max="4350" width="10.33203125" style="78" customWidth="1"/>
    <col min="4351" max="4351" width="9.5546875" style="78" customWidth="1"/>
    <col min="4352" max="4352" width="13.109375" style="78" customWidth="1"/>
    <col min="4353" max="4353" width="9.88671875" style="78" customWidth="1"/>
    <col min="4354" max="4354" width="9.109375" style="78" customWidth="1"/>
    <col min="4355" max="4356" width="13.88671875" style="78" customWidth="1"/>
    <col min="4357" max="4357" width="10.5546875" style="78" customWidth="1"/>
    <col min="4358" max="4358" width="15.109375" style="78" customWidth="1"/>
    <col min="4359" max="4359" width="20.44140625" style="78" customWidth="1"/>
    <col min="4360" max="4601" width="11.44140625" style="78"/>
    <col min="4602" max="4602" width="30.33203125" style="78" customWidth="1"/>
    <col min="4603" max="4603" width="10.44140625" style="78" customWidth="1"/>
    <col min="4604" max="4605" width="11.44140625" style="78"/>
    <col min="4606" max="4606" width="10.33203125" style="78" customWidth="1"/>
    <col min="4607" max="4607" width="9.5546875" style="78" customWidth="1"/>
    <col min="4608" max="4608" width="13.109375" style="78" customWidth="1"/>
    <col min="4609" max="4609" width="9.88671875" style="78" customWidth="1"/>
    <col min="4610" max="4610" width="9.109375" style="78" customWidth="1"/>
    <col min="4611" max="4612" width="13.88671875" style="78" customWidth="1"/>
    <col min="4613" max="4613" width="10.5546875" style="78" customWidth="1"/>
    <col min="4614" max="4614" width="15.109375" style="78" customWidth="1"/>
    <col min="4615" max="4615" width="20.44140625" style="78" customWidth="1"/>
    <col min="4616" max="4857" width="11.44140625" style="78"/>
    <col min="4858" max="4858" width="30.33203125" style="78" customWidth="1"/>
    <col min="4859" max="4859" width="10.44140625" style="78" customWidth="1"/>
    <col min="4860" max="4861" width="11.44140625" style="78"/>
    <col min="4862" max="4862" width="10.33203125" style="78" customWidth="1"/>
    <col min="4863" max="4863" width="9.5546875" style="78" customWidth="1"/>
    <col min="4864" max="4864" width="13.109375" style="78" customWidth="1"/>
    <col min="4865" max="4865" width="9.88671875" style="78" customWidth="1"/>
    <col min="4866" max="4866" width="9.109375" style="78" customWidth="1"/>
    <col min="4867" max="4868" width="13.88671875" style="78" customWidth="1"/>
    <col min="4869" max="4869" width="10.5546875" style="78" customWidth="1"/>
    <col min="4870" max="4870" width="15.109375" style="78" customWidth="1"/>
    <col min="4871" max="4871" width="20.44140625" style="78" customWidth="1"/>
    <col min="4872" max="5113" width="11.44140625" style="78"/>
    <col min="5114" max="5114" width="30.33203125" style="78" customWidth="1"/>
    <col min="5115" max="5115" width="10.44140625" style="78" customWidth="1"/>
    <col min="5116" max="5117" width="11.44140625" style="78"/>
    <col min="5118" max="5118" width="10.33203125" style="78" customWidth="1"/>
    <col min="5119" max="5119" width="9.5546875" style="78" customWidth="1"/>
    <col min="5120" max="5120" width="13.109375" style="78" customWidth="1"/>
    <col min="5121" max="5121" width="9.88671875" style="78" customWidth="1"/>
    <col min="5122" max="5122" width="9.109375" style="78" customWidth="1"/>
    <col min="5123" max="5124" width="13.88671875" style="78" customWidth="1"/>
    <col min="5125" max="5125" width="10.5546875" style="78" customWidth="1"/>
    <col min="5126" max="5126" width="15.109375" style="78" customWidth="1"/>
    <col min="5127" max="5127" width="20.44140625" style="78" customWidth="1"/>
    <col min="5128" max="5369" width="11.44140625" style="78"/>
    <col min="5370" max="5370" width="30.33203125" style="78" customWidth="1"/>
    <col min="5371" max="5371" width="10.44140625" style="78" customWidth="1"/>
    <col min="5372" max="5373" width="11.44140625" style="78"/>
    <col min="5374" max="5374" width="10.33203125" style="78" customWidth="1"/>
    <col min="5375" max="5375" width="9.5546875" style="78" customWidth="1"/>
    <col min="5376" max="5376" width="13.109375" style="78" customWidth="1"/>
    <col min="5377" max="5377" width="9.88671875" style="78" customWidth="1"/>
    <col min="5378" max="5378" width="9.109375" style="78" customWidth="1"/>
    <col min="5379" max="5380" width="13.88671875" style="78" customWidth="1"/>
    <col min="5381" max="5381" width="10.5546875" style="78" customWidth="1"/>
    <col min="5382" max="5382" width="15.109375" style="78" customWidth="1"/>
    <col min="5383" max="5383" width="20.44140625" style="78" customWidth="1"/>
    <col min="5384" max="5625" width="11.44140625" style="78"/>
    <col min="5626" max="5626" width="30.33203125" style="78" customWidth="1"/>
    <col min="5627" max="5627" width="10.44140625" style="78" customWidth="1"/>
    <col min="5628" max="5629" width="11.44140625" style="78"/>
    <col min="5630" max="5630" width="10.33203125" style="78" customWidth="1"/>
    <col min="5631" max="5631" width="9.5546875" style="78" customWidth="1"/>
    <col min="5632" max="5632" width="13.109375" style="78" customWidth="1"/>
    <col min="5633" max="5633" width="9.88671875" style="78" customWidth="1"/>
    <col min="5634" max="5634" width="9.109375" style="78" customWidth="1"/>
    <col min="5635" max="5636" width="13.88671875" style="78" customWidth="1"/>
    <col min="5637" max="5637" width="10.5546875" style="78" customWidth="1"/>
    <col min="5638" max="5638" width="15.109375" style="78" customWidth="1"/>
    <col min="5639" max="5639" width="20.44140625" style="78" customWidth="1"/>
    <col min="5640" max="5881" width="11.44140625" style="78"/>
    <col min="5882" max="5882" width="30.33203125" style="78" customWidth="1"/>
    <col min="5883" max="5883" width="10.44140625" style="78" customWidth="1"/>
    <col min="5884" max="5885" width="11.44140625" style="78"/>
    <col min="5886" max="5886" width="10.33203125" style="78" customWidth="1"/>
    <col min="5887" max="5887" width="9.5546875" style="78" customWidth="1"/>
    <col min="5888" max="5888" width="13.109375" style="78" customWidth="1"/>
    <col min="5889" max="5889" width="9.88671875" style="78" customWidth="1"/>
    <col min="5890" max="5890" width="9.109375" style="78" customWidth="1"/>
    <col min="5891" max="5892" width="13.88671875" style="78" customWidth="1"/>
    <col min="5893" max="5893" width="10.5546875" style="78" customWidth="1"/>
    <col min="5894" max="5894" width="15.109375" style="78" customWidth="1"/>
    <col min="5895" max="5895" width="20.44140625" style="78" customWidth="1"/>
    <col min="5896" max="6137" width="11.44140625" style="78"/>
    <col min="6138" max="6138" width="30.33203125" style="78" customWidth="1"/>
    <col min="6139" max="6139" width="10.44140625" style="78" customWidth="1"/>
    <col min="6140" max="6141" width="11.44140625" style="78"/>
    <col min="6142" max="6142" width="10.33203125" style="78" customWidth="1"/>
    <col min="6143" max="6143" width="9.5546875" style="78" customWidth="1"/>
    <col min="6144" max="6144" width="13.109375" style="78" customWidth="1"/>
    <col min="6145" max="6145" width="9.88671875" style="78" customWidth="1"/>
    <col min="6146" max="6146" width="9.109375" style="78" customWidth="1"/>
    <col min="6147" max="6148" width="13.88671875" style="78" customWidth="1"/>
    <col min="6149" max="6149" width="10.5546875" style="78" customWidth="1"/>
    <col min="6150" max="6150" width="15.109375" style="78" customWidth="1"/>
    <col min="6151" max="6151" width="20.44140625" style="78" customWidth="1"/>
    <col min="6152" max="6393" width="11.44140625" style="78"/>
    <col min="6394" max="6394" width="30.33203125" style="78" customWidth="1"/>
    <col min="6395" max="6395" width="10.44140625" style="78" customWidth="1"/>
    <col min="6396" max="6397" width="11.44140625" style="78"/>
    <col min="6398" max="6398" width="10.33203125" style="78" customWidth="1"/>
    <col min="6399" max="6399" width="9.5546875" style="78" customWidth="1"/>
    <col min="6400" max="6400" width="13.109375" style="78" customWidth="1"/>
    <col min="6401" max="6401" width="9.88671875" style="78" customWidth="1"/>
    <col min="6402" max="6402" width="9.109375" style="78" customWidth="1"/>
    <col min="6403" max="6404" width="13.88671875" style="78" customWidth="1"/>
    <col min="6405" max="6405" width="10.5546875" style="78" customWidth="1"/>
    <col min="6406" max="6406" width="15.109375" style="78" customWidth="1"/>
    <col min="6407" max="6407" width="20.44140625" style="78" customWidth="1"/>
    <col min="6408" max="6649" width="11.44140625" style="78"/>
    <col min="6650" max="6650" width="30.33203125" style="78" customWidth="1"/>
    <col min="6651" max="6651" width="10.44140625" style="78" customWidth="1"/>
    <col min="6652" max="6653" width="11.44140625" style="78"/>
    <col min="6654" max="6654" width="10.33203125" style="78" customWidth="1"/>
    <col min="6655" max="6655" width="9.5546875" style="78" customWidth="1"/>
    <col min="6656" max="6656" width="13.109375" style="78" customWidth="1"/>
    <col min="6657" max="6657" width="9.88671875" style="78" customWidth="1"/>
    <col min="6658" max="6658" width="9.109375" style="78" customWidth="1"/>
    <col min="6659" max="6660" width="13.88671875" style="78" customWidth="1"/>
    <col min="6661" max="6661" width="10.5546875" style="78" customWidth="1"/>
    <col min="6662" max="6662" width="15.109375" style="78" customWidth="1"/>
    <col min="6663" max="6663" width="20.44140625" style="78" customWidth="1"/>
    <col min="6664" max="6905" width="11.44140625" style="78"/>
    <col min="6906" max="6906" width="30.33203125" style="78" customWidth="1"/>
    <col min="6907" max="6907" width="10.44140625" style="78" customWidth="1"/>
    <col min="6908" max="6909" width="11.44140625" style="78"/>
    <col min="6910" max="6910" width="10.33203125" style="78" customWidth="1"/>
    <col min="6911" max="6911" width="9.5546875" style="78" customWidth="1"/>
    <col min="6912" max="6912" width="13.109375" style="78" customWidth="1"/>
    <col min="6913" max="6913" width="9.88671875" style="78" customWidth="1"/>
    <col min="6914" max="6914" width="9.109375" style="78" customWidth="1"/>
    <col min="6915" max="6916" width="13.88671875" style="78" customWidth="1"/>
    <col min="6917" max="6917" width="10.5546875" style="78" customWidth="1"/>
    <col min="6918" max="6918" width="15.109375" style="78" customWidth="1"/>
    <col min="6919" max="6919" width="20.44140625" style="78" customWidth="1"/>
    <col min="6920" max="7161" width="11.44140625" style="78"/>
    <col min="7162" max="7162" width="30.33203125" style="78" customWidth="1"/>
    <col min="7163" max="7163" width="10.44140625" style="78" customWidth="1"/>
    <col min="7164" max="7165" width="11.44140625" style="78"/>
    <col min="7166" max="7166" width="10.33203125" style="78" customWidth="1"/>
    <col min="7167" max="7167" width="9.5546875" style="78" customWidth="1"/>
    <col min="7168" max="7168" width="13.109375" style="78" customWidth="1"/>
    <col min="7169" max="7169" width="9.88671875" style="78" customWidth="1"/>
    <col min="7170" max="7170" width="9.109375" style="78" customWidth="1"/>
    <col min="7171" max="7172" width="13.88671875" style="78" customWidth="1"/>
    <col min="7173" max="7173" width="10.5546875" style="78" customWidth="1"/>
    <col min="7174" max="7174" width="15.109375" style="78" customWidth="1"/>
    <col min="7175" max="7175" width="20.44140625" style="78" customWidth="1"/>
    <col min="7176" max="7417" width="11.44140625" style="78"/>
    <col min="7418" max="7418" width="30.33203125" style="78" customWidth="1"/>
    <col min="7419" max="7419" width="10.44140625" style="78" customWidth="1"/>
    <col min="7420" max="7421" width="11.44140625" style="78"/>
    <col min="7422" max="7422" width="10.33203125" style="78" customWidth="1"/>
    <col min="7423" max="7423" width="9.5546875" style="78" customWidth="1"/>
    <col min="7424" max="7424" width="13.109375" style="78" customWidth="1"/>
    <col min="7425" max="7425" width="9.88671875" style="78" customWidth="1"/>
    <col min="7426" max="7426" width="9.109375" style="78" customWidth="1"/>
    <col min="7427" max="7428" width="13.88671875" style="78" customWidth="1"/>
    <col min="7429" max="7429" width="10.5546875" style="78" customWidth="1"/>
    <col min="7430" max="7430" width="15.109375" style="78" customWidth="1"/>
    <col min="7431" max="7431" width="20.44140625" style="78" customWidth="1"/>
    <col min="7432" max="7673" width="11.44140625" style="78"/>
    <col min="7674" max="7674" width="30.33203125" style="78" customWidth="1"/>
    <col min="7675" max="7675" width="10.44140625" style="78" customWidth="1"/>
    <col min="7676" max="7677" width="11.44140625" style="78"/>
    <col min="7678" max="7678" width="10.33203125" style="78" customWidth="1"/>
    <col min="7679" max="7679" width="9.5546875" style="78" customWidth="1"/>
    <col min="7680" max="7680" width="13.109375" style="78" customWidth="1"/>
    <col min="7681" max="7681" width="9.88671875" style="78" customWidth="1"/>
    <col min="7682" max="7682" width="9.109375" style="78" customWidth="1"/>
    <col min="7683" max="7684" width="13.88671875" style="78" customWidth="1"/>
    <col min="7685" max="7685" width="10.5546875" style="78" customWidth="1"/>
    <col min="7686" max="7686" width="15.109375" style="78" customWidth="1"/>
    <col min="7687" max="7687" width="20.44140625" style="78" customWidth="1"/>
    <col min="7688" max="7929" width="11.44140625" style="78"/>
    <col min="7930" max="7930" width="30.33203125" style="78" customWidth="1"/>
    <col min="7931" max="7931" width="10.44140625" style="78" customWidth="1"/>
    <col min="7932" max="7933" width="11.44140625" style="78"/>
    <col min="7934" max="7934" width="10.33203125" style="78" customWidth="1"/>
    <col min="7935" max="7935" width="9.5546875" style="78" customWidth="1"/>
    <col min="7936" max="7936" width="13.109375" style="78" customWidth="1"/>
    <col min="7937" max="7937" width="9.88671875" style="78" customWidth="1"/>
    <col min="7938" max="7938" width="9.109375" style="78" customWidth="1"/>
    <col min="7939" max="7940" width="13.88671875" style="78" customWidth="1"/>
    <col min="7941" max="7941" width="10.5546875" style="78" customWidth="1"/>
    <col min="7942" max="7942" width="15.109375" style="78" customWidth="1"/>
    <col min="7943" max="7943" width="20.44140625" style="78" customWidth="1"/>
    <col min="7944" max="8185" width="11.44140625" style="78"/>
    <col min="8186" max="8186" width="30.33203125" style="78" customWidth="1"/>
    <col min="8187" max="8187" width="10.44140625" style="78" customWidth="1"/>
    <col min="8188" max="8189" width="11.44140625" style="78"/>
    <col min="8190" max="8190" width="10.33203125" style="78" customWidth="1"/>
    <col min="8191" max="8191" width="9.5546875" style="78" customWidth="1"/>
    <col min="8192" max="8192" width="13.109375" style="78" customWidth="1"/>
    <col min="8193" max="8193" width="9.88671875" style="78" customWidth="1"/>
    <col min="8194" max="8194" width="9.109375" style="78" customWidth="1"/>
    <col min="8195" max="8196" width="13.88671875" style="78" customWidth="1"/>
    <col min="8197" max="8197" width="10.5546875" style="78" customWidth="1"/>
    <col min="8198" max="8198" width="15.109375" style="78" customWidth="1"/>
    <col min="8199" max="8199" width="20.44140625" style="78" customWidth="1"/>
    <col min="8200" max="8441" width="11.44140625" style="78"/>
    <col min="8442" max="8442" width="30.33203125" style="78" customWidth="1"/>
    <col min="8443" max="8443" width="10.44140625" style="78" customWidth="1"/>
    <col min="8444" max="8445" width="11.44140625" style="78"/>
    <col min="8446" max="8446" width="10.33203125" style="78" customWidth="1"/>
    <col min="8447" max="8447" width="9.5546875" style="78" customWidth="1"/>
    <col min="8448" max="8448" width="13.109375" style="78" customWidth="1"/>
    <col min="8449" max="8449" width="9.88671875" style="78" customWidth="1"/>
    <col min="8450" max="8450" width="9.109375" style="78" customWidth="1"/>
    <col min="8451" max="8452" width="13.88671875" style="78" customWidth="1"/>
    <col min="8453" max="8453" width="10.5546875" style="78" customWidth="1"/>
    <col min="8454" max="8454" width="15.109375" style="78" customWidth="1"/>
    <col min="8455" max="8455" width="20.44140625" style="78" customWidth="1"/>
    <col min="8456" max="8697" width="11.44140625" style="78"/>
    <col min="8698" max="8698" width="30.33203125" style="78" customWidth="1"/>
    <col min="8699" max="8699" width="10.44140625" style="78" customWidth="1"/>
    <col min="8700" max="8701" width="11.44140625" style="78"/>
    <col min="8702" max="8702" width="10.33203125" style="78" customWidth="1"/>
    <col min="8703" max="8703" width="9.5546875" style="78" customWidth="1"/>
    <col min="8704" max="8704" width="13.109375" style="78" customWidth="1"/>
    <col min="8705" max="8705" width="9.88671875" style="78" customWidth="1"/>
    <col min="8706" max="8706" width="9.109375" style="78" customWidth="1"/>
    <col min="8707" max="8708" width="13.88671875" style="78" customWidth="1"/>
    <col min="8709" max="8709" width="10.5546875" style="78" customWidth="1"/>
    <col min="8710" max="8710" width="15.109375" style="78" customWidth="1"/>
    <col min="8711" max="8711" width="20.44140625" style="78" customWidth="1"/>
    <col min="8712" max="8953" width="11.44140625" style="78"/>
    <col min="8954" max="8954" width="30.33203125" style="78" customWidth="1"/>
    <col min="8955" max="8955" width="10.44140625" style="78" customWidth="1"/>
    <col min="8956" max="8957" width="11.44140625" style="78"/>
    <col min="8958" max="8958" width="10.33203125" style="78" customWidth="1"/>
    <col min="8959" max="8959" width="9.5546875" style="78" customWidth="1"/>
    <col min="8960" max="8960" width="13.109375" style="78" customWidth="1"/>
    <col min="8961" max="8961" width="9.88671875" style="78" customWidth="1"/>
    <col min="8962" max="8962" width="9.109375" style="78" customWidth="1"/>
    <col min="8963" max="8964" width="13.88671875" style="78" customWidth="1"/>
    <col min="8965" max="8965" width="10.5546875" style="78" customWidth="1"/>
    <col min="8966" max="8966" width="15.109375" style="78" customWidth="1"/>
    <col min="8967" max="8967" width="20.44140625" style="78" customWidth="1"/>
    <col min="8968" max="9209" width="11.44140625" style="78"/>
    <col min="9210" max="9210" width="30.33203125" style="78" customWidth="1"/>
    <col min="9211" max="9211" width="10.44140625" style="78" customWidth="1"/>
    <col min="9212" max="9213" width="11.44140625" style="78"/>
    <col min="9214" max="9214" width="10.33203125" style="78" customWidth="1"/>
    <col min="9215" max="9215" width="9.5546875" style="78" customWidth="1"/>
    <col min="9216" max="9216" width="13.109375" style="78" customWidth="1"/>
    <col min="9217" max="9217" width="9.88671875" style="78" customWidth="1"/>
    <col min="9218" max="9218" width="9.109375" style="78" customWidth="1"/>
    <col min="9219" max="9220" width="13.88671875" style="78" customWidth="1"/>
    <col min="9221" max="9221" width="10.5546875" style="78" customWidth="1"/>
    <col min="9222" max="9222" width="15.109375" style="78" customWidth="1"/>
    <col min="9223" max="9223" width="20.44140625" style="78" customWidth="1"/>
    <col min="9224" max="9465" width="11.44140625" style="78"/>
    <col min="9466" max="9466" width="30.33203125" style="78" customWidth="1"/>
    <col min="9467" max="9467" width="10.44140625" style="78" customWidth="1"/>
    <col min="9468" max="9469" width="11.44140625" style="78"/>
    <col min="9470" max="9470" width="10.33203125" style="78" customWidth="1"/>
    <col min="9471" max="9471" width="9.5546875" style="78" customWidth="1"/>
    <col min="9472" max="9472" width="13.109375" style="78" customWidth="1"/>
    <col min="9473" max="9473" width="9.88671875" style="78" customWidth="1"/>
    <col min="9474" max="9474" width="9.109375" style="78" customWidth="1"/>
    <col min="9475" max="9476" width="13.88671875" style="78" customWidth="1"/>
    <col min="9477" max="9477" width="10.5546875" style="78" customWidth="1"/>
    <col min="9478" max="9478" width="15.109375" style="78" customWidth="1"/>
    <col min="9479" max="9479" width="20.44140625" style="78" customWidth="1"/>
    <col min="9480" max="9721" width="11.44140625" style="78"/>
    <col min="9722" max="9722" width="30.33203125" style="78" customWidth="1"/>
    <col min="9723" max="9723" width="10.44140625" style="78" customWidth="1"/>
    <col min="9724" max="9725" width="11.44140625" style="78"/>
    <col min="9726" max="9726" width="10.33203125" style="78" customWidth="1"/>
    <col min="9727" max="9727" width="9.5546875" style="78" customWidth="1"/>
    <col min="9728" max="9728" width="13.109375" style="78" customWidth="1"/>
    <col min="9729" max="9729" width="9.88671875" style="78" customWidth="1"/>
    <col min="9730" max="9730" width="9.109375" style="78" customWidth="1"/>
    <col min="9731" max="9732" width="13.88671875" style="78" customWidth="1"/>
    <col min="9733" max="9733" width="10.5546875" style="78" customWidth="1"/>
    <col min="9734" max="9734" width="15.109375" style="78" customWidth="1"/>
    <col min="9735" max="9735" width="20.44140625" style="78" customWidth="1"/>
    <col min="9736" max="9977" width="11.44140625" style="78"/>
    <col min="9978" max="9978" width="30.33203125" style="78" customWidth="1"/>
    <col min="9979" max="9979" width="10.44140625" style="78" customWidth="1"/>
    <col min="9980" max="9981" width="11.44140625" style="78"/>
    <col min="9982" max="9982" width="10.33203125" style="78" customWidth="1"/>
    <col min="9983" max="9983" width="9.5546875" style="78" customWidth="1"/>
    <col min="9984" max="9984" width="13.109375" style="78" customWidth="1"/>
    <col min="9985" max="9985" width="9.88671875" style="78" customWidth="1"/>
    <col min="9986" max="9986" width="9.109375" style="78" customWidth="1"/>
    <col min="9987" max="9988" width="13.88671875" style="78" customWidth="1"/>
    <col min="9989" max="9989" width="10.5546875" style="78" customWidth="1"/>
    <col min="9990" max="9990" width="15.109375" style="78" customWidth="1"/>
    <col min="9991" max="9991" width="20.44140625" style="78" customWidth="1"/>
    <col min="9992" max="10233" width="11.44140625" style="78"/>
    <col min="10234" max="10234" width="30.33203125" style="78" customWidth="1"/>
    <col min="10235" max="10235" width="10.44140625" style="78" customWidth="1"/>
    <col min="10236" max="10237" width="11.44140625" style="78"/>
    <col min="10238" max="10238" width="10.33203125" style="78" customWidth="1"/>
    <col min="10239" max="10239" width="9.5546875" style="78" customWidth="1"/>
    <col min="10240" max="10240" width="13.109375" style="78" customWidth="1"/>
    <col min="10241" max="10241" width="9.88671875" style="78" customWidth="1"/>
    <col min="10242" max="10242" width="9.109375" style="78" customWidth="1"/>
    <col min="10243" max="10244" width="13.88671875" style="78" customWidth="1"/>
    <col min="10245" max="10245" width="10.5546875" style="78" customWidth="1"/>
    <col min="10246" max="10246" width="15.109375" style="78" customWidth="1"/>
    <col min="10247" max="10247" width="20.44140625" style="78" customWidth="1"/>
    <col min="10248" max="10489" width="11.44140625" style="78"/>
    <col min="10490" max="10490" width="30.33203125" style="78" customWidth="1"/>
    <col min="10491" max="10491" width="10.44140625" style="78" customWidth="1"/>
    <col min="10492" max="10493" width="11.44140625" style="78"/>
    <col min="10494" max="10494" width="10.33203125" style="78" customWidth="1"/>
    <col min="10495" max="10495" width="9.5546875" style="78" customWidth="1"/>
    <col min="10496" max="10496" width="13.109375" style="78" customWidth="1"/>
    <col min="10497" max="10497" width="9.88671875" style="78" customWidth="1"/>
    <col min="10498" max="10498" width="9.109375" style="78" customWidth="1"/>
    <col min="10499" max="10500" width="13.88671875" style="78" customWidth="1"/>
    <col min="10501" max="10501" width="10.5546875" style="78" customWidth="1"/>
    <col min="10502" max="10502" width="15.109375" style="78" customWidth="1"/>
    <col min="10503" max="10503" width="20.44140625" style="78" customWidth="1"/>
    <col min="10504" max="10745" width="11.44140625" style="78"/>
    <col min="10746" max="10746" width="30.33203125" style="78" customWidth="1"/>
    <col min="10747" max="10747" width="10.44140625" style="78" customWidth="1"/>
    <col min="10748" max="10749" width="11.44140625" style="78"/>
    <col min="10750" max="10750" width="10.33203125" style="78" customWidth="1"/>
    <col min="10751" max="10751" width="9.5546875" style="78" customWidth="1"/>
    <col min="10752" max="10752" width="13.109375" style="78" customWidth="1"/>
    <col min="10753" max="10753" width="9.88671875" style="78" customWidth="1"/>
    <col min="10754" max="10754" width="9.109375" style="78" customWidth="1"/>
    <col min="10755" max="10756" width="13.88671875" style="78" customWidth="1"/>
    <col min="10757" max="10757" width="10.5546875" style="78" customWidth="1"/>
    <col min="10758" max="10758" width="15.109375" style="78" customWidth="1"/>
    <col min="10759" max="10759" width="20.44140625" style="78" customWidth="1"/>
    <col min="10760" max="11001" width="11.44140625" style="78"/>
    <col min="11002" max="11002" width="30.33203125" style="78" customWidth="1"/>
    <col min="11003" max="11003" width="10.44140625" style="78" customWidth="1"/>
    <col min="11004" max="11005" width="11.44140625" style="78"/>
    <col min="11006" max="11006" width="10.33203125" style="78" customWidth="1"/>
    <col min="11007" max="11007" width="9.5546875" style="78" customWidth="1"/>
    <col min="11008" max="11008" width="13.109375" style="78" customWidth="1"/>
    <col min="11009" max="11009" width="9.88671875" style="78" customWidth="1"/>
    <col min="11010" max="11010" width="9.109375" style="78" customWidth="1"/>
    <col min="11011" max="11012" width="13.88671875" style="78" customWidth="1"/>
    <col min="11013" max="11013" width="10.5546875" style="78" customWidth="1"/>
    <col min="11014" max="11014" width="15.109375" style="78" customWidth="1"/>
    <col min="11015" max="11015" width="20.44140625" style="78" customWidth="1"/>
    <col min="11016" max="11257" width="11.44140625" style="78"/>
    <col min="11258" max="11258" width="30.33203125" style="78" customWidth="1"/>
    <col min="11259" max="11259" width="10.44140625" style="78" customWidth="1"/>
    <col min="11260" max="11261" width="11.44140625" style="78"/>
    <col min="11262" max="11262" width="10.33203125" style="78" customWidth="1"/>
    <col min="11263" max="11263" width="9.5546875" style="78" customWidth="1"/>
    <col min="11264" max="11264" width="13.109375" style="78" customWidth="1"/>
    <col min="11265" max="11265" width="9.88671875" style="78" customWidth="1"/>
    <col min="11266" max="11266" width="9.109375" style="78" customWidth="1"/>
    <col min="11267" max="11268" width="13.88671875" style="78" customWidth="1"/>
    <col min="11269" max="11269" width="10.5546875" style="78" customWidth="1"/>
    <col min="11270" max="11270" width="15.109375" style="78" customWidth="1"/>
    <col min="11271" max="11271" width="20.44140625" style="78" customWidth="1"/>
    <col min="11272" max="11513" width="11.44140625" style="78"/>
    <col min="11514" max="11514" width="30.33203125" style="78" customWidth="1"/>
    <col min="11515" max="11515" width="10.44140625" style="78" customWidth="1"/>
    <col min="11516" max="11517" width="11.44140625" style="78"/>
    <col min="11518" max="11518" width="10.33203125" style="78" customWidth="1"/>
    <col min="11519" max="11519" width="9.5546875" style="78" customWidth="1"/>
    <col min="11520" max="11520" width="13.109375" style="78" customWidth="1"/>
    <col min="11521" max="11521" width="9.88671875" style="78" customWidth="1"/>
    <col min="11522" max="11522" width="9.109375" style="78" customWidth="1"/>
    <col min="11523" max="11524" width="13.88671875" style="78" customWidth="1"/>
    <col min="11525" max="11525" width="10.5546875" style="78" customWidth="1"/>
    <col min="11526" max="11526" width="15.109375" style="78" customWidth="1"/>
    <col min="11527" max="11527" width="20.44140625" style="78" customWidth="1"/>
    <col min="11528" max="11769" width="11.44140625" style="78"/>
    <col min="11770" max="11770" width="30.33203125" style="78" customWidth="1"/>
    <col min="11771" max="11771" width="10.44140625" style="78" customWidth="1"/>
    <col min="11772" max="11773" width="11.44140625" style="78"/>
    <col min="11774" max="11774" width="10.33203125" style="78" customWidth="1"/>
    <col min="11775" max="11775" width="9.5546875" style="78" customWidth="1"/>
    <col min="11776" max="11776" width="13.109375" style="78" customWidth="1"/>
    <col min="11777" max="11777" width="9.88671875" style="78" customWidth="1"/>
    <col min="11778" max="11778" width="9.109375" style="78" customWidth="1"/>
    <col min="11779" max="11780" width="13.88671875" style="78" customWidth="1"/>
    <col min="11781" max="11781" width="10.5546875" style="78" customWidth="1"/>
    <col min="11782" max="11782" width="15.109375" style="78" customWidth="1"/>
    <col min="11783" max="11783" width="20.44140625" style="78" customWidth="1"/>
    <col min="11784" max="12025" width="11.44140625" style="78"/>
    <col min="12026" max="12026" width="30.33203125" style="78" customWidth="1"/>
    <col min="12027" max="12027" width="10.44140625" style="78" customWidth="1"/>
    <col min="12028" max="12029" width="11.44140625" style="78"/>
    <col min="12030" max="12030" width="10.33203125" style="78" customWidth="1"/>
    <col min="12031" max="12031" width="9.5546875" style="78" customWidth="1"/>
    <col min="12032" max="12032" width="13.109375" style="78" customWidth="1"/>
    <col min="12033" max="12033" width="9.88671875" style="78" customWidth="1"/>
    <col min="12034" max="12034" width="9.109375" style="78" customWidth="1"/>
    <col min="12035" max="12036" width="13.88671875" style="78" customWidth="1"/>
    <col min="12037" max="12037" width="10.5546875" style="78" customWidth="1"/>
    <col min="12038" max="12038" width="15.109375" style="78" customWidth="1"/>
    <col min="12039" max="12039" width="20.44140625" style="78" customWidth="1"/>
    <col min="12040" max="12281" width="11.44140625" style="78"/>
    <col min="12282" max="12282" width="30.33203125" style="78" customWidth="1"/>
    <col min="12283" max="12283" width="10.44140625" style="78" customWidth="1"/>
    <col min="12284" max="12285" width="11.44140625" style="78"/>
    <col min="12286" max="12286" width="10.33203125" style="78" customWidth="1"/>
    <col min="12287" max="12287" width="9.5546875" style="78" customWidth="1"/>
    <col min="12288" max="12288" width="13.109375" style="78" customWidth="1"/>
    <col min="12289" max="12289" width="9.88671875" style="78" customWidth="1"/>
    <col min="12290" max="12290" width="9.109375" style="78" customWidth="1"/>
    <col min="12291" max="12292" width="13.88671875" style="78" customWidth="1"/>
    <col min="12293" max="12293" width="10.5546875" style="78" customWidth="1"/>
    <col min="12294" max="12294" width="15.109375" style="78" customWidth="1"/>
    <col min="12295" max="12295" width="20.44140625" style="78" customWidth="1"/>
    <col min="12296" max="12537" width="11.44140625" style="78"/>
    <col min="12538" max="12538" width="30.33203125" style="78" customWidth="1"/>
    <col min="12539" max="12539" width="10.44140625" style="78" customWidth="1"/>
    <col min="12540" max="12541" width="11.44140625" style="78"/>
    <col min="12542" max="12542" width="10.33203125" style="78" customWidth="1"/>
    <col min="12543" max="12543" width="9.5546875" style="78" customWidth="1"/>
    <col min="12544" max="12544" width="13.109375" style="78" customWidth="1"/>
    <col min="12545" max="12545" width="9.88671875" style="78" customWidth="1"/>
    <col min="12546" max="12546" width="9.109375" style="78" customWidth="1"/>
    <col min="12547" max="12548" width="13.88671875" style="78" customWidth="1"/>
    <col min="12549" max="12549" width="10.5546875" style="78" customWidth="1"/>
    <col min="12550" max="12550" width="15.109375" style="78" customWidth="1"/>
    <col min="12551" max="12551" width="20.44140625" style="78" customWidth="1"/>
    <col min="12552" max="12793" width="11.44140625" style="78"/>
    <col min="12794" max="12794" width="30.33203125" style="78" customWidth="1"/>
    <col min="12795" max="12795" width="10.44140625" style="78" customWidth="1"/>
    <col min="12796" max="12797" width="11.44140625" style="78"/>
    <col min="12798" max="12798" width="10.33203125" style="78" customWidth="1"/>
    <col min="12799" max="12799" width="9.5546875" style="78" customWidth="1"/>
    <col min="12800" max="12800" width="13.109375" style="78" customWidth="1"/>
    <col min="12801" max="12801" width="9.88671875" style="78" customWidth="1"/>
    <col min="12802" max="12802" width="9.109375" style="78" customWidth="1"/>
    <col min="12803" max="12804" width="13.88671875" style="78" customWidth="1"/>
    <col min="12805" max="12805" width="10.5546875" style="78" customWidth="1"/>
    <col min="12806" max="12806" width="15.109375" style="78" customWidth="1"/>
    <col min="12807" max="12807" width="20.44140625" style="78" customWidth="1"/>
    <col min="12808" max="13049" width="11.44140625" style="78"/>
    <col min="13050" max="13050" width="30.33203125" style="78" customWidth="1"/>
    <col min="13051" max="13051" width="10.44140625" style="78" customWidth="1"/>
    <col min="13052" max="13053" width="11.44140625" style="78"/>
    <col min="13054" max="13054" width="10.33203125" style="78" customWidth="1"/>
    <col min="13055" max="13055" width="9.5546875" style="78" customWidth="1"/>
    <col min="13056" max="13056" width="13.109375" style="78" customWidth="1"/>
    <col min="13057" max="13057" width="9.88671875" style="78" customWidth="1"/>
    <col min="13058" max="13058" width="9.109375" style="78" customWidth="1"/>
    <col min="13059" max="13060" width="13.88671875" style="78" customWidth="1"/>
    <col min="13061" max="13061" width="10.5546875" style="78" customWidth="1"/>
    <col min="13062" max="13062" width="15.109375" style="78" customWidth="1"/>
    <col min="13063" max="13063" width="20.44140625" style="78" customWidth="1"/>
    <col min="13064" max="13305" width="11.44140625" style="78"/>
    <col min="13306" max="13306" width="30.33203125" style="78" customWidth="1"/>
    <col min="13307" max="13307" width="10.44140625" style="78" customWidth="1"/>
    <col min="13308" max="13309" width="11.44140625" style="78"/>
    <col min="13310" max="13310" width="10.33203125" style="78" customWidth="1"/>
    <col min="13311" max="13311" width="9.5546875" style="78" customWidth="1"/>
    <col min="13312" max="13312" width="13.109375" style="78" customWidth="1"/>
    <col min="13313" max="13313" width="9.88671875" style="78" customWidth="1"/>
    <col min="13314" max="13314" width="9.109375" style="78" customWidth="1"/>
    <col min="13315" max="13316" width="13.88671875" style="78" customWidth="1"/>
    <col min="13317" max="13317" width="10.5546875" style="78" customWidth="1"/>
    <col min="13318" max="13318" width="15.109375" style="78" customWidth="1"/>
    <col min="13319" max="13319" width="20.44140625" style="78" customWidth="1"/>
    <col min="13320" max="13561" width="11.44140625" style="78"/>
    <col min="13562" max="13562" width="30.33203125" style="78" customWidth="1"/>
    <col min="13563" max="13563" width="10.44140625" style="78" customWidth="1"/>
    <col min="13564" max="13565" width="11.44140625" style="78"/>
    <col min="13566" max="13566" width="10.33203125" style="78" customWidth="1"/>
    <col min="13567" max="13567" width="9.5546875" style="78" customWidth="1"/>
    <col min="13568" max="13568" width="13.109375" style="78" customWidth="1"/>
    <col min="13569" max="13569" width="9.88671875" style="78" customWidth="1"/>
    <col min="13570" max="13570" width="9.109375" style="78" customWidth="1"/>
    <col min="13571" max="13572" width="13.88671875" style="78" customWidth="1"/>
    <col min="13573" max="13573" width="10.5546875" style="78" customWidth="1"/>
    <col min="13574" max="13574" width="15.109375" style="78" customWidth="1"/>
    <col min="13575" max="13575" width="20.44140625" style="78" customWidth="1"/>
    <col min="13576" max="13817" width="11.44140625" style="78"/>
    <col min="13818" max="13818" width="30.33203125" style="78" customWidth="1"/>
    <col min="13819" max="13819" width="10.44140625" style="78" customWidth="1"/>
    <col min="13820" max="13821" width="11.44140625" style="78"/>
    <col min="13822" max="13822" width="10.33203125" style="78" customWidth="1"/>
    <col min="13823" max="13823" width="9.5546875" style="78" customWidth="1"/>
    <col min="13824" max="13824" width="13.109375" style="78" customWidth="1"/>
    <col min="13825" max="13825" width="9.88671875" style="78" customWidth="1"/>
    <col min="13826" max="13826" width="9.109375" style="78" customWidth="1"/>
    <col min="13827" max="13828" width="13.88671875" style="78" customWidth="1"/>
    <col min="13829" max="13829" width="10.5546875" style="78" customWidth="1"/>
    <col min="13830" max="13830" width="15.109375" style="78" customWidth="1"/>
    <col min="13831" max="13831" width="20.44140625" style="78" customWidth="1"/>
    <col min="13832" max="14073" width="11.44140625" style="78"/>
    <col min="14074" max="14074" width="30.33203125" style="78" customWidth="1"/>
    <col min="14075" max="14075" width="10.44140625" style="78" customWidth="1"/>
    <col min="14076" max="14077" width="11.44140625" style="78"/>
    <col min="14078" max="14078" width="10.33203125" style="78" customWidth="1"/>
    <col min="14079" max="14079" width="9.5546875" style="78" customWidth="1"/>
    <col min="14080" max="14080" width="13.109375" style="78" customWidth="1"/>
    <col min="14081" max="14081" width="9.88671875" style="78" customWidth="1"/>
    <col min="14082" max="14082" width="9.109375" style="78" customWidth="1"/>
    <col min="14083" max="14084" width="13.88671875" style="78" customWidth="1"/>
    <col min="14085" max="14085" width="10.5546875" style="78" customWidth="1"/>
    <col min="14086" max="14086" width="15.109375" style="78" customWidth="1"/>
    <col min="14087" max="14087" width="20.44140625" style="78" customWidth="1"/>
    <col min="14088" max="14329" width="11.44140625" style="78"/>
    <col min="14330" max="14330" width="30.33203125" style="78" customWidth="1"/>
    <col min="14331" max="14331" width="10.44140625" style="78" customWidth="1"/>
    <col min="14332" max="14333" width="11.44140625" style="78"/>
    <col min="14334" max="14334" width="10.33203125" style="78" customWidth="1"/>
    <col min="14335" max="14335" width="9.5546875" style="78" customWidth="1"/>
    <col min="14336" max="14336" width="13.109375" style="78" customWidth="1"/>
    <col min="14337" max="14337" width="9.88671875" style="78" customWidth="1"/>
    <col min="14338" max="14338" width="9.109375" style="78" customWidth="1"/>
    <col min="14339" max="14340" width="13.88671875" style="78" customWidth="1"/>
    <col min="14341" max="14341" width="10.5546875" style="78" customWidth="1"/>
    <col min="14342" max="14342" width="15.109375" style="78" customWidth="1"/>
    <col min="14343" max="14343" width="20.44140625" style="78" customWidth="1"/>
    <col min="14344" max="14585" width="11.44140625" style="78"/>
    <col min="14586" max="14586" width="30.33203125" style="78" customWidth="1"/>
    <col min="14587" max="14587" width="10.44140625" style="78" customWidth="1"/>
    <col min="14588" max="14589" width="11.44140625" style="78"/>
    <col min="14590" max="14590" width="10.33203125" style="78" customWidth="1"/>
    <col min="14591" max="14591" width="9.5546875" style="78" customWidth="1"/>
    <col min="14592" max="14592" width="13.109375" style="78" customWidth="1"/>
    <col min="14593" max="14593" width="9.88671875" style="78" customWidth="1"/>
    <col min="14594" max="14594" width="9.109375" style="78" customWidth="1"/>
    <col min="14595" max="14596" width="13.88671875" style="78" customWidth="1"/>
    <col min="14597" max="14597" width="10.5546875" style="78" customWidth="1"/>
    <col min="14598" max="14598" width="15.109375" style="78" customWidth="1"/>
    <col min="14599" max="14599" width="20.44140625" style="78" customWidth="1"/>
    <col min="14600" max="14841" width="11.44140625" style="78"/>
    <col min="14842" max="14842" width="30.33203125" style="78" customWidth="1"/>
    <col min="14843" max="14843" width="10.44140625" style="78" customWidth="1"/>
    <col min="14844" max="14845" width="11.44140625" style="78"/>
    <col min="14846" max="14846" width="10.33203125" style="78" customWidth="1"/>
    <col min="14847" max="14847" width="9.5546875" style="78" customWidth="1"/>
    <col min="14848" max="14848" width="13.109375" style="78" customWidth="1"/>
    <col min="14849" max="14849" width="9.88671875" style="78" customWidth="1"/>
    <col min="14850" max="14850" width="9.109375" style="78" customWidth="1"/>
    <col min="14851" max="14852" width="13.88671875" style="78" customWidth="1"/>
    <col min="14853" max="14853" width="10.5546875" style="78" customWidth="1"/>
    <col min="14854" max="14854" width="15.109375" style="78" customWidth="1"/>
    <col min="14855" max="14855" width="20.44140625" style="78" customWidth="1"/>
    <col min="14856" max="15097" width="11.44140625" style="78"/>
    <col min="15098" max="15098" width="30.33203125" style="78" customWidth="1"/>
    <col min="15099" max="15099" width="10.44140625" style="78" customWidth="1"/>
    <col min="15100" max="15101" width="11.44140625" style="78"/>
    <col min="15102" max="15102" width="10.33203125" style="78" customWidth="1"/>
    <col min="15103" max="15103" width="9.5546875" style="78" customWidth="1"/>
    <col min="15104" max="15104" width="13.109375" style="78" customWidth="1"/>
    <col min="15105" max="15105" width="9.88671875" style="78" customWidth="1"/>
    <col min="15106" max="15106" width="9.109375" style="78" customWidth="1"/>
    <col min="15107" max="15108" width="13.88671875" style="78" customWidth="1"/>
    <col min="15109" max="15109" width="10.5546875" style="78" customWidth="1"/>
    <col min="15110" max="15110" width="15.109375" style="78" customWidth="1"/>
    <col min="15111" max="15111" width="20.44140625" style="78" customWidth="1"/>
    <col min="15112" max="15353" width="11.44140625" style="78"/>
    <col min="15354" max="15354" width="30.33203125" style="78" customWidth="1"/>
    <col min="15355" max="15355" width="10.44140625" style="78" customWidth="1"/>
    <col min="15356" max="15357" width="11.44140625" style="78"/>
    <col min="15358" max="15358" width="10.33203125" style="78" customWidth="1"/>
    <col min="15359" max="15359" width="9.5546875" style="78" customWidth="1"/>
    <col min="15360" max="15360" width="13.109375" style="78" customWidth="1"/>
    <col min="15361" max="15361" width="9.88671875" style="78" customWidth="1"/>
    <col min="15362" max="15362" width="9.109375" style="78" customWidth="1"/>
    <col min="15363" max="15364" width="13.88671875" style="78" customWidth="1"/>
    <col min="15365" max="15365" width="10.5546875" style="78" customWidth="1"/>
    <col min="15366" max="15366" width="15.109375" style="78" customWidth="1"/>
    <col min="15367" max="15367" width="20.44140625" style="78" customWidth="1"/>
    <col min="15368" max="15609" width="11.44140625" style="78"/>
    <col min="15610" max="15610" width="30.33203125" style="78" customWidth="1"/>
    <col min="15611" max="15611" width="10.44140625" style="78" customWidth="1"/>
    <col min="15612" max="15613" width="11.44140625" style="78"/>
    <col min="15614" max="15614" width="10.33203125" style="78" customWidth="1"/>
    <col min="15615" max="15615" width="9.5546875" style="78" customWidth="1"/>
    <col min="15616" max="15616" width="13.109375" style="78" customWidth="1"/>
    <col min="15617" max="15617" width="9.88671875" style="78" customWidth="1"/>
    <col min="15618" max="15618" width="9.109375" style="78" customWidth="1"/>
    <col min="15619" max="15620" width="13.88671875" style="78" customWidth="1"/>
    <col min="15621" max="15621" width="10.5546875" style="78" customWidth="1"/>
    <col min="15622" max="15622" width="15.109375" style="78" customWidth="1"/>
    <col min="15623" max="15623" width="20.44140625" style="78" customWidth="1"/>
    <col min="15624" max="15865" width="11.44140625" style="78"/>
    <col min="15866" max="15866" width="30.33203125" style="78" customWidth="1"/>
    <col min="15867" max="15867" width="10.44140625" style="78" customWidth="1"/>
    <col min="15868" max="15869" width="11.44140625" style="78"/>
    <col min="15870" max="15870" width="10.33203125" style="78" customWidth="1"/>
    <col min="15871" max="15871" width="9.5546875" style="78" customWidth="1"/>
    <col min="15872" max="15872" width="13.109375" style="78" customWidth="1"/>
    <col min="15873" max="15873" width="9.88671875" style="78" customWidth="1"/>
    <col min="15874" max="15874" width="9.109375" style="78" customWidth="1"/>
    <col min="15875" max="15876" width="13.88671875" style="78" customWidth="1"/>
    <col min="15877" max="15877" width="10.5546875" style="78" customWidth="1"/>
    <col min="15878" max="15878" width="15.109375" style="78" customWidth="1"/>
    <col min="15879" max="15879" width="20.44140625" style="78" customWidth="1"/>
    <col min="15880" max="16121" width="11.44140625" style="78"/>
    <col min="16122" max="16122" width="30.33203125" style="78" customWidth="1"/>
    <col min="16123" max="16123" width="10.44140625" style="78" customWidth="1"/>
    <col min="16124" max="16125" width="11.44140625" style="78"/>
    <col min="16126" max="16126" width="10.33203125" style="78" customWidth="1"/>
    <col min="16127" max="16127" width="9.5546875" style="78" customWidth="1"/>
    <col min="16128" max="16128" width="13.109375" style="78" customWidth="1"/>
    <col min="16129" max="16129" width="9.88671875" style="78" customWidth="1"/>
    <col min="16130" max="16130" width="9.109375" style="78" customWidth="1"/>
    <col min="16131" max="16132" width="13.88671875" style="78" customWidth="1"/>
    <col min="16133" max="16133" width="10.5546875" style="78" customWidth="1"/>
    <col min="16134" max="16134" width="15.109375" style="78" customWidth="1"/>
    <col min="16135" max="16135" width="20.44140625" style="78" customWidth="1"/>
    <col min="16136" max="16384" width="11.44140625" style="78"/>
  </cols>
  <sheetData>
    <row r="1" spans="1:14" ht="15" thickBot="1" x14ac:dyDescent="0.35"/>
    <row r="2" spans="1:14" ht="26.4" customHeight="1" thickBot="1" x14ac:dyDescent="0.35">
      <c r="B2" s="161" t="s">
        <v>45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4" x14ac:dyDescent="0.3">
      <c r="A3" s="81"/>
      <c r="B3" s="82"/>
    </row>
    <row r="4" spans="1:14" ht="15" thickBot="1" x14ac:dyDescent="0.35">
      <c r="A4" s="81"/>
      <c r="G4" s="78"/>
      <c r="H4" s="78"/>
      <c r="I4" s="78"/>
      <c r="J4" s="78"/>
      <c r="K4" s="78"/>
    </row>
    <row r="5" spans="1:14" ht="58.2" thickBot="1" x14ac:dyDescent="0.35">
      <c r="A5" s="94" t="s">
        <v>12</v>
      </c>
      <c r="B5" s="94" t="s">
        <v>9</v>
      </c>
      <c r="C5" s="95" t="s">
        <v>31</v>
      </c>
      <c r="D5" s="94" t="s">
        <v>0</v>
      </c>
      <c r="E5" s="94" t="s">
        <v>1</v>
      </c>
      <c r="F5" s="96" t="s">
        <v>32</v>
      </c>
      <c r="G5" s="97" t="s">
        <v>5</v>
      </c>
      <c r="H5" s="97" t="s">
        <v>34</v>
      </c>
      <c r="I5" s="98" t="s">
        <v>33</v>
      </c>
      <c r="J5" s="97" t="s">
        <v>5</v>
      </c>
      <c r="K5" s="98" t="s">
        <v>35</v>
      </c>
      <c r="M5" s="153" t="s">
        <v>52</v>
      </c>
      <c r="N5" s="154"/>
    </row>
    <row r="6" spans="1:14" s="87" customFormat="1" x14ac:dyDescent="0.3">
      <c r="A6" s="83"/>
      <c r="B6" s="83"/>
      <c r="C6" s="143">
        <f>SUM(H6+K6)</f>
        <v>0</v>
      </c>
      <c r="D6" s="83"/>
      <c r="E6" s="83"/>
      <c r="F6" s="127"/>
      <c r="G6" s="85">
        <v>7000</v>
      </c>
      <c r="H6" s="84">
        <f>F6*G6</f>
        <v>0</v>
      </c>
      <c r="I6" s="127"/>
      <c r="J6" s="84">
        <v>9000</v>
      </c>
      <c r="K6" s="86">
        <f>SUM(I6*J6)</f>
        <v>0</v>
      </c>
    </row>
    <row r="7" spans="1:14" s="87" customFormat="1" x14ac:dyDescent="0.3">
      <c r="A7" s="83"/>
      <c r="B7" s="83"/>
      <c r="C7" s="143">
        <f t="shared" ref="C7:C69" si="0">SUM(H7+K7)</f>
        <v>0</v>
      </c>
      <c r="D7" s="83"/>
      <c r="E7" s="83"/>
      <c r="F7" s="83"/>
      <c r="G7" s="85">
        <v>7000</v>
      </c>
      <c r="H7" s="84">
        <f>F7*G7</f>
        <v>0</v>
      </c>
      <c r="I7" s="83"/>
      <c r="J7" s="84">
        <v>9000</v>
      </c>
      <c r="K7" s="86">
        <f t="shared" ref="K7:K69" si="1">SUM(I7*J7)</f>
        <v>0</v>
      </c>
    </row>
    <row r="8" spans="1:14" s="87" customFormat="1" x14ac:dyDescent="0.3">
      <c r="A8" s="83"/>
      <c r="B8" s="83"/>
      <c r="C8" s="143">
        <f t="shared" si="0"/>
        <v>0</v>
      </c>
      <c r="D8" s="83"/>
      <c r="E8" s="83"/>
      <c r="F8" s="83"/>
      <c r="G8" s="85">
        <v>7000</v>
      </c>
      <c r="H8" s="84">
        <f>F8*G8</f>
        <v>0</v>
      </c>
      <c r="I8" s="83"/>
      <c r="J8" s="84">
        <v>9000</v>
      </c>
      <c r="K8" s="86">
        <f t="shared" si="1"/>
        <v>0</v>
      </c>
    </row>
    <row r="9" spans="1:14" s="87" customFormat="1" x14ac:dyDescent="0.3">
      <c r="A9" s="83"/>
      <c r="B9" s="83"/>
      <c r="C9" s="143">
        <f t="shared" si="0"/>
        <v>0</v>
      </c>
      <c r="D9" s="83"/>
      <c r="E9" s="83"/>
      <c r="F9" s="83"/>
      <c r="G9" s="85">
        <v>7000</v>
      </c>
      <c r="H9" s="84">
        <f>F9*G9</f>
        <v>0</v>
      </c>
      <c r="I9" s="83"/>
      <c r="J9" s="84">
        <v>9000</v>
      </c>
      <c r="K9" s="86">
        <f t="shared" si="1"/>
        <v>0</v>
      </c>
    </row>
    <row r="10" spans="1:14" s="87" customFormat="1" x14ac:dyDescent="0.3">
      <c r="A10" s="83"/>
      <c r="B10" s="83"/>
      <c r="C10" s="143">
        <f t="shared" si="0"/>
        <v>0</v>
      </c>
      <c r="D10" s="83"/>
      <c r="E10" s="83"/>
      <c r="F10" s="83"/>
      <c r="G10" s="85">
        <v>7000</v>
      </c>
      <c r="H10" s="84">
        <f>F10*G10</f>
        <v>0</v>
      </c>
      <c r="I10" s="83"/>
      <c r="J10" s="84">
        <v>9000</v>
      </c>
      <c r="K10" s="86">
        <f t="shared" si="1"/>
        <v>0</v>
      </c>
    </row>
    <row r="11" spans="1:14" s="87" customFormat="1" x14ac:dyDescent="0.3">
      <c r="A11" s="83"/>
      <c r="B11" s="83"/>
      <c r="C11" s="143">
        <f t="shared" si="0"/>
        <v>0</v>
      </c>
      <c r="D11" s="83"/>
      <c r="E11" s="83"/>
      <c r="F11" s="83"/>
      <c r="G11" s="85">
        <v>7000</v>
      </c>
      <c r="H11" s="85">
        <f t="shared" ref="H11:H69" si="2">SUM(F11*G11)</f>
        <v>0</v>
      </c>
      <c r="I11" s="83"/>
      <c r="J11" s="84">
        <v>9000</v>
      </c>
      <c r="K11" s="86">
        <f t="shared" si="1"/>
        <v>0</v>
      </c>
    </row>
    <row r="12" spans="1:14" s="87" customFormat="1" x14ac:dyDescent="0.3">
      <c r="A12" s="83"/>
      <c r="B12" s="83"/>
      <c r="C12" s="143">
        <f t="shared" si="0"/>
        <v>0</v>
      </c>
      <c r="D12" s="83"/>
      <c r="E12" s="83"/>
      <c r="F12" s="83"/>
      <c r="G12" s="85">
        <v>7000</v>
      </c>
      <c r="H12" s="85">
        <f t="shared" si="2"/>
        <v>0</v>
      </c>
      <c r="I12" s="83"/>
      <c r="J12" s="84">
        <v>9000</v>
      </c>
      <c r="K12" s="86">
        <f t="shared" si="1"/>
        <v>0</v>
      </c>
    </row>
    <row r="13" spans="1:14" s="87" customFormat="1" x14ac:dyDescent="0.3">
      <c r="A13" s="83"/>
      <c r="B13" s="83"/>
      <c r="C13" s="143">
        <f t="shared" si="0"/>
        <v>0</v>
      </c>
      <c r="D13" s="83"/>
      <c r="E13" s="83"/>
      <c r="F13" s="83"/>
      <c r="G13" s="85">
        <v>7000</v>
      </c>
      <c r="H13" s="85">
        <f t="shared" si="2"/>
        <v>0</v>
      </c>
      <c r="I13" s="83"/>
      <c r="J13" s="84">
        <v>9000</v>
      </c>
      <c r="K13" s="86">
        <f t="shared" si="1"/>
        <v>0</v>
      </c>
    </row>
    <row r="14" spans="1:14" s="87" customFormat="1" x14ac:dyDescent="0.3">
      <c r="A14" s="83"/>
      <c r="B14" s="83"/>
      <c r="C14" s="143">
        <f t="shared" si="0"/>
        <v>0</v>
      </c>
      <c r="D14" s="83"/>
      <c r="E14" s="83"/>
      <c r="F14" s="83"/>
      <c r="G14" s="85">
        <v>7000</v>
      </c>
      <c r="H14" s="85">
        <f t="shared" si="2"/>
        <v>0</v>
      </c>
      <c r="I14" s="83"/>
      <c r="J14" s="84">
        <v>9000</v>
      </c>
      <c r="K14" s="86">
        <f t="shared" si="1"/>
        <v>0</v>
      </c>
    </row>
    <row r="15" spans="1:14" s="87" customFormat="1" x14ac:dyDescent="0.3">
      <c r="A15" s="83"/>
      <c r="B15" s="83"/>
      <c r="C15" s="143">
        <f t="shared" si="0"/>
        <v>0</v>
      </c>
      <c r="D15" s="83"/>
      <c r="E15" s="83"/>
      <c r="F15" s="83"/>
      <c r="G15" s="85">
        <v>7000</v>
      </c>
      <c r="H15" s="85">
        <f t="shared" si="2"/>
        <v>0</v>
      </c>
      <c r="I15" s="83"/>
      <c r="J15" s="84">
        <v>9000</v>
      </c>
      <c r="K15" s="86">
        <f t="shared" si="1"/>
        <v>0</v>
      </c>
    </row>
    <row r="16" spans="1:14" s="87" customFormat="1" x14ac:dyDescent="0.3">
      <c r="A16" s="83"/>
      <c r="B16" s="83"/>
      <c r="C16" s="143">
        <f t="shared" si="0"/>
        <v>0</v>
      </c>
      <c r="D16" s="83"/>
      <c r="E16" s="83"/>
      <c r="F16" s="83"/>
      <c r="G16" s="85">
        <v>7000</v>
      </c>
      <c r="H16" s="85">
        <f t="shared" si="2"/>
        <v>0</v>
      </c>
      <c r="I16" s="83"/>
      <c r="J16" s="84">
        <v>9000</v>
      </c>
      <c r="K16" s="86">
        <f t="shared" si="1"/>
        <v>0</v>
      </c>
    </row>
    <row r="17" spans="1:11" s="87" customFormat="1" x14ac:dyDescent="0.3">
      <c r="A17" s="83"/>
      <c r="B17" s="83"/>
      <c r="C17" s="143">
        <f t="shared" si="0"/>
        <v>0</v>
      </c>
      <c r="D17" s="83"/>
      <c r="E17" s="83"/>
      <c r="F17" s="83"/>
      <c r="G17" s="85">
        <v>7000</v>
      </c>
      <c r="H17" s="85">
        <f t="shared" si="2"/>
        <v>0</v>
      </c>
      <c r="I17" s="83"/>
      <c r="J17" s="84">
        <v>9000</v>
      </c>
      <c r="K17" s="86">
        <f t="shared" si="1"/>
        <v>0</v>
      </c>
    </row>
    <row r="18" spans="1:11" s="87" customFormat="1" x14ac:dyDescent="0.3">
      <c r="A18" s="83"/>
      <c r="B18" s="83"/>
      <c r="C18" s="143">
        <f t="shared" si="0"/>
        <v>0</v>
      </c>
      <c r="D18" s="83"/>
      <c r="E18" s="83"/>
      <c r="F18" s="83"/>
      <c r="G18" s="85">
        <v>7000</v>
      </c>
      <c r="H18" s="85">
        <f t="shared" si="2"/>
        <v>0</v>
      </c>
      <c r="I18" s="83"/>
      <c r="J18" s="84">
        <v>9000</v>
      </c>
      <c r="K18" s="86">
        <f t="shared" si="1"/>
        <v>0</v>
      </c>
    </row>
    <row r="19" spans="1:11" s="87" customFormat="1" x14ac:dyDescent="0.3">
      <c r="A19" s="83"/>
      <c r="B19" s="83"/>
      <c r="C19" s="143">
        <f t="shared" si="0"/>
        <v>0</v>
      </c>
      <c r="D19" s="83"/>
      <c r="E19" s="83"/>
      <c r="F19" s="83"/>
      <c r="G19" s="85">
        <v>7000</v>
      </c>
      <c r="H19" s="85">
        <f t="shared" si="2"/>
        <v>0</v>
      </c>
      <c r="I19" s="83"/>
      <c r="J19" s="84">
        <v>9000</v>
      </c>
      <c r="K19" s="86">
        <f t="shared" si="1"/>
        <v>0</v>
      </c>
    </row>
    <row r="20" spans="1:11" s="87" customFormat="1" x14ac:dyDescent="0.3">
      <c r="A20" s="83"/>
      <c r="B20" s="83"/>
      <c r="C20" s="143">
        <f t="shared" si="0"/>
        <v>0</v>
      </c>
      <c r="D20" s="83"/>
      <c r="E20" s="83"/>
      <c r="F20" s="83"/>
      <c r="G20" s="85">
        <v>7000</v>
      </c>
      <c r="H20" s="85">
        <f t="shared" si="2"/>
        <v>0</v>
      </c>
      <c r="I20" s="83"/>
      <c r="J20" s="84">
        <v>9000</v>
      </c>
      <c r="K20" s="86">
        <f t="shared" si="1"/>
        <v>0</v>
      </c>
    </row>
    <row r="21" spans="1:11" s="87" customFormat="1" x14ac:dyDescent="0.3">
      <c r="A21" s="83"/>
      <c r="B21" s="83"/>
      <c r="C21" s="143">
        <f t="shared" si="0"/>
        <v>0</v>
      </c>
      <c r="D21" s="83"/>
      <c r="E21" s="83"/>
      <c r="F21" s="83"/>
      <c r="G21" s="85">
        <v>7000</v>
      </c>
      <c r="H21" s="85">
        <f t="shared" si="2"/>
        <v>0</v>
      </c>
      <c r="I21" s="83"/>
      <c r="J21" s="84">
        <v>9000</v>
      </c>
      <c r="K21" s="86">
        <f t="shared" si="1"/>
        <v>0</v>
      </c>
    </row>
    <row r="22" spans="1:11" s="87" customFormat="1" x14ac:dyDescent="0.3">
      <c r="A22" s="83"/>
      <c r="B22" s="83"/>
      <c r="C22" s="143">
        <f t="shared" si="0"/>
        <v>0</v>
      </c>
      <c r="D22" s="83"/>
      <c r="E22" s="83"/>
      <c r="F22" s="83"/>
      <c r="G22" s="85">
        <v>7000</v>
      </c>
      <c r="H22" s="85">
        <f t="shared" si="2"/>
        <v>0</v>
      </c>
      <c r="I22" s="83"/>
      <c r="J22" s="84">
        <v>9000</v>
      </c>
      <c r="K22" s="86">
        <f t="shared" si="1"/>
        <v>0</v>
      </c>
    </row>
    <row r="23" spans="1:11" s="87" customFormat="1" x14ac:dyDescent="0.3">
      <c r="A23" s="83"/>
      <c r="B23" s="83"/>
      <c r="C23" s="143">
        <f t="shared" si="0"/>
        <v>0</v>
      </c>
      <c r="D23" s="83"/>
      <c r="E23" s="83"/>
      <c r="F23" s="83"/>
      <c r="G23" s="85">
        <v>7000</v>
      </c>
      <c r="H23" s="85">
        <f t="shared" si="2"/>
        <v>0</v>
      </c>
      <c r="I23" s="83"/>
      <c r="J23" s="84">
        <v>9000</v>
      </c>
      <c r="K23" s="86">
        <f t="shared" si="1"/>
        <v>0</v>
      </c>
    </row>
    <row r="24" spans="1:11" s="87" customFormat="1" x14ac:dyDescent="0.3">
      <c r="A24" s="83"/>
      <c r="B24" s="83"/>
      <c r="C24" s="143">
        <f t="shared" si="0"/>
        <v>0</v>
      </c>
      <c r="D24" s="83"/>
      <c r="E24" s="83"/>
      <c r="F24" s="83"/>
      <c r="G24" s="85">
        <v>7000</v>
      </c>
      <c r="H24" s="85">
        <f t="shared" si="2"/>
        <v>0</v>
      </c>
      <c r="I24" s="83"/>
      <c r="J24" s="84">
        <v>9000</v>
      </c>
      <c r="K24" s="86">
        <f t="shared" si="1"/>
        <v>0</v>
      </c>
    </row>
    <row r="25" spans="1:11" s="87" customFormat="1" x14ac:dyDescent="0.3">
      <c r="A25" s="83"/>
      <c r="B25" s="83"/>
      <c r="C25" s="143">
        <f t="shared" si="0"/>
        <v>0</v>
      </c>
      <c r="D25" s="83"/>
      <c r="E25" s="83"/>
      <c r="F25" s="83"/>
      <c r="G25" s="85">
        <v>7000</v>
      </c>
      <c r="H25" s="85">
        <f t="shared" si="2"/>
        <v>0</v>
      </c>
      <c r="I25" s="83"/>
      <c r="J25" s="84">
        <v>9000</v>
      </c>
      <c r="K25" s="86">
        <f t="shared" si="1"/>
        <v>0</v>
      </c>
    </row>
    <row r="26" spans="1:11" s="87" customFormat="1" x14ac:dyDescent="0.3">
      <c r="A26" s="83"/>
      <c r="B26" s="83"/>
      <c r="C26" s="143">
        <f t="shared" si="0"/>
        <v>0</v>
      </c>
      <c r="D26" s="83"/>
      <c r="E26" s="83"/>
      <c r="F26" s="83"/>
      <c r="G26" s="85">
        <v>7000</v>
      </c>
      <c r="H26" s="85">
        <f t="shared" si="2"/>
        <v>0</v>
      </c>
      <c r="I26" s="83"/>
      <c r="J26" s="84">
        <v>9000</v>
      </c>
      <c r="K26" s="86">
        <f t="shared" si="1"/>
        <v>0</v>
      </c>
    </row>
    <row r="27" spans="1:11" s="87" customFormat="1" x14ac:dyDescent="0.3">
      <c r="A27" s="83"/>
      <c r="B27" s="83"/>
      <c r="C27" s="143">
        <f t="shared" si="0"/>
        <v>0</v>
      </c>
      <c r="D27" s="83"/>
      <c r="E27" s="83"/>
      <c r="F27" s="83"/>
      <c r="G27" s="85">
        <v>7000</v>
      </c>
      <c r="H27" s="85">
        <f t="shared" si="2"/>
        <v>0</v>
      </c>
      <c r="I27" s="83"/>
      <c r="J27" s="84">
        <v>9000</v>
      </c>
      <c r="K27" s="86">
        <f t="shared" si="1"/>
        <v>0</v>
      </c>
    </row>
    <row r="28" spans="1:11" s="87" customFormat="1" x14ac:dyDescent="0.3">
      <c r="A28" s="83"/>
      <c r="B28" s="83"/>
      <c r="C28" s="143">
        <f t="shared" si="0"/>
        <v>0</v>
      </c>
      <c r="D28" s="83"/>
      <c r="E28" s="83"/>
      <c r="F28" s="83"/>
      <c r="G28" s="85">
        <v>7000</v>
      </c>
      <c r="H28" s="85">
        <f t="shared" si="2"/>
        <v>0</v>
      </c>
      <c r="I28" s="83"/>
      <c r="J28" s="84">
        <v>9000</v>
      </c>
      <c r="K28" s="86">
        <f t="shared" si="1"/>
        <v>0</v>
      </c>
    </row>
    <row r="29" spans="1:11" s="87" customFormat="1" x14ac:dyDescent="0.3">
      <c r="A29" s="83"/>
      <c r="B29" s="83"/>
      <c r="C29" s="143">
        <f t="shared" si="0"/>
        <v>0</v>
      </c>
      <c r="D29" s="83"/>
      <c r="E29" s="83"/>
      <c r="F29" s="83"/>
      <c r="G29" s="85">
        <v>7000</v>
      </c>
      <c r="H29" s="85">
        <f t="shared" si="2"/>
        <v>0</v>
      </c>
      <c r="I29" s="83"/>
      <c r="J29" s="84">
        <v>9000</v>
      </c>
      <c r="K29" s="86">
        <f t="shared" si="1"/>
        <v>0</v>
      </c>
    </row>
    <row r="30" spans="1:11" s="87" customFormat="1" x14ac:dyDescent="0.3">
      <c r="A30" s="83"/>
      <c r="B30" s="83"/>
      <c r="C30" s="143">
        <f t="shared" si="0"/>
        <v>0</v>
      </c>
      <c r="D30" s="83"/>
      <c r="E30" s="83"/>
      <c r="F30" s="83"/>
      <c r="G30" s="85">
        <v>7000</v>
      </c>
      <c r="H30" s="85">
        <f t="shared" si="2"/>
        <v>0</v>
      </c>
      <c r="I30" s="83"/>
      <c r="J30" s="84">
        <v>9000</v>
      </c>
      <c r="K30" s="86">
        <f t="shared" si="1"/>
        <v>0</v>
      </c>
    </row>
    <row r="31" spans="1:11" s="87" customFormat="1" x14ac:dyDescent="0.3">
      <c r="A31" s="83"/>
      <c r="B31" s="83"/>
      <c r="C31" s="143">
        <f t="shared" si="0"/>
        <v>0</v>
      </c>
      <c r="D31" s="83"/>
      <c r="E31" s="83"/>
      <c r="F31" s="83"/>
      <c r="G31" s="85">
        <v>7000</v>
      </c>
      <c r="H31" s="85">
        <f t="shared" si="2"/>
        <v>0</v>
      </c>
      <c r="I31" s="83"/>
      <c r="J31" s="84">
        <v>9000</v>
      </c>
      <c r="K31" s="86">
        <f t="shared" si="1"/>
        <v>0</v>
      </c>
    </row>
    <row r="32" spans="1:11" s="87" customFormat="1" x14ac:dyDescent="0.3">
      <c r="A32" s="83"/>
      <c r="B32" s="83"/>
      <c r="C32" s="143">
        <f t="shared" si="0"/>
        <v>0</v>
      </c>
      <c r="D32" s="83"/>
      <c r="E32" s="83"/>
      <c r="F32" s="83"/>
      <c r="G32" s="85">
        <v>7000</v>
      </c>
      <c r="H32" s="85">
        <f t="shared" si="2"/>
        <v>0</v>
      </c>
      <c r="I32" s="83"/>
      <c r="J32" s="84">
        <v>9000</v>
      </c>
      <c r="K32" s="86">
        <f t="shared" si="1"/>
        <v>0</v>
      </c>
    </row>
    <row r="33" spans="1:11" s="87" customFormat="1" x14ac:dyDescent="0.3">
      <c r="A33" s="83"/>
      <c r="B33" s="83"/>
      <c r="C33" s="143">
        <f t="shared" si="0"/>
        <v>0</v>
      </c>
      <c r="D33" s="83"/>
      <c r="E33" s="83"/>
      <c r="F33" s="83"/>
      <c r="G33" s="85">
        <v>7000</v>
      </c>
      <c r="H33" s="85">
        <f t="shared" si="2"/>
        <v>0</v>
      </c>
      <c r="I33" s="83"/>
      <c r="J33" s="84">
        <v>9000</v>
      </c>
      <c r="K33" s="86">
        <f t="shared" si="1"/>
        <v>0</v>
      </c>
    </row>
    <row r="34" spans="1:11" s="87" customFormat="1" x14ac:dyDescent="0.3">
      <c r="A34" s="83"/>
      <c r="B34" s="83"/>
      <c r="C34" s="143">
        <f t="shared" si="0"/>
        <v>0</v>
      </c>
      <c r="D34" s="83"/>
      <c r="E34" s="83"/>
      <c r="F34" s="83"/>
      <c r="G34" s="85">
        <v>7000</v>
      </c>
      <c r="H34" s="85">
        <f t="shared" si="2"/>
        <v>0</v>
      </c>
      <c r="I34" s="83"/>
      <c r="J34" s="84">
        <v>9000</v>
      </c>
      <c r="K34" s="86">
        <f t="shared" si="1"/>
        <v>0</v>
      </c>
    </row>
    <row r="35" spans="1:11" s="87" customFormat="1" x14ac:dyDescent="0.3">
      <c r="A35" s="83"/>
      <c r="B35" s="83"/>
      <c r="C35" s="143">
        <f t="shared" si="0"/>
        <v>0</v>
      </c>
      <c r="D35" s="83"/>
      <c r="E35" s="83"/>
      <c r="F35" s="83"/>
      <c r="G35" s="85">
        <v>7000</v>
      </c>
      <c r="H35" s="85">
        <f t="shared" si="2"/>
        <v>0</v>
      </c>
      <c r="I35" s="83"/>
      <c r="J35" s="84">
        <v>9000</v>
      </c>
      <c r="K35" s="86">
        <f t="shared" si="1"/>
        <v>0</v>
      </c>
    </row>
    <row r="36" spans="1:11" s="87" customFormat="1" x14ac:dyDescent="0.3">
      <c r="A36" s="83"/>
      <c r="B36" s="83"/>
      <c r="C36" s="143">
        <f t="shared" si="0"/>
        <v>0</v>
      </c>
      <c r="D36" s="83"/>
      <c r="E36" s="83"/>
      <c r="F36" s="83"/>
      <c r="G36" s="85">
        <v>7000</v>
      </c>
      <c r="H36" s="85">
        <f t="shared" si="2"/>
        <v>0</v>
      </c>
      <c r="I36" s="83"/>
      <c r="J36" s="84">
        <v>9000</v>
      </c>
      <c r="K36" s="86">
        <f t="shared" si="1"/>
        <v>0</v>
      </c>
    </row>
    <row r="37" spans="1:11" s="87" customFormat="1" x14ac:dyDescent="0.3">
      <c r="A37" s="83"/>
      <c r="B37" s="83"/>
      <c r="C37" s="143">
        <f t="shared" si="0"/>
        <v>0</v>
      </c>
      <c r="D37" s="83"/>
      <c r="E37" s="83"/>
      <c r="F37" s="83"/>
      <c r="G37" s="85">
        <v>7000</v>
      </c>
      <c r="H37" s="85">
        <f t="shared" si="2"/>
        <v>0</v>
      </c>
      <c r="I37" s="83"/>
      <c r="J37" s="84">
        <v>9000</v>
      </c>
      <c r="K37" s="86">
        <f t="shared" si="1"/>
        <v>0</v>
      </c>
    </row>
    <row r="38" spans="1:11" s="87" customFormat="1" x14ac:dyDescent="0.3">
      <c r="A38" s="83"/>
      <c r="B38" s="83"/>
      <c r="C38" s="143">
        <f t="shared" si="0"/>
        <v>0</v>
      </c>
      <c r="D38" s="83"/>
      <c r="E38" s="83"/>
      <c r="F38" s="83"/>
      <c r="G38" s="85">
        <v>7000</v>
      </c>
      <c r="H38" s="85">
        <f t="shared" si="2"/>
        <v>0</v>
      </c>
      <c r="I38" s="83"/>
      <c r="J38" s="84">
        <v>9000</v>
      </c>
      <c r="K38" s="86">
        <f t="shared" si="1"/>
        <v>0</v>
      </c>
    </row>
    <row r="39" spans="1:11" s="87" customFormat="1" x14ac:dyDescent="0.3">
      <c r="A39" s="83"/>
      <c r="B39" s="83"/>
      <c r="C39" s="143">
        <f t="shared" si="0"/>
        <v>0</v>
      </c>
      <c r="D39" s="83"/>
      <c r="E39" s="83"/>
      <c r="F39" s="83"/>
      <c r="G39" s="85">
        <v>7000</v>
      </c>
      <c r="H39" s="85">
        <f t="shared" si="2"/>
        <v>0</v>
      </c>
      <c r="I39" s="83"/>
      <c r="J39" s="84">
        <v>9000</v>
      </c>
      <c r="K39" s="86">
        <f t="shared" si="1"/>
        <v>0</v>
      </c>
    </row>
    <row r="40" spans="1:11" s="87" customFormat="1" x14ac:dyDescent="0.3">
      <c r="A40" s="92"/>
      <c r="B40" s="92"/>
      <c r="C40" s="143">
        <f t="shared" si="0"/>
        <v>0</v>
      </c>
      <c r="D40" s="83"/>
      <c r="E40" s="83"/>
      <c r="F40" s="83"/>
      <c r="G40" s="85">
        <v>7000</v>
      </c>
      <c r="H40" s="85">
        <f t="shared" si="2"/>
        <v>0</v>
      </c>
      <c r="I40" s="83"/>
      <c r="J40" s="84">
        <v>9000</v>
      </c>
      <c r="K40" s="86">
        <f t="shared" si="1"/>
        <v>0</v>
      </c>
    </row>
    <row r="41" spans="1:11" s="87" customFormat="1" x14ac:dyDescent="0.3">
      <c r="A41" s="92"/>
      <c r="B41" s="92"/>
      <c r="C41" s="143">
        <f t="shared" si="0"/>
        <v>0</v>
      </c>
      <c r="D41" s="83"/>
      <c r="E41" s="83"/>
      <c r="F41" s="83"/>
      <c r="G41" s="85">
        <v>7000</v>
      </c>
      <c r="H41" s="85">
        <f t="shared" si="2"/>
        <v>0</v>
      </c>
      <c r="I41" s="83"/>
      <c r="J41" s="84">
        <v>9000</v>
      </c>
      <c r="K41" s="86">
        <f t="shared" si="1"/>
        <v>0</v>
      </c>
    </row>
    <row r="42" spans="1:11" s="87" customFormat="1" x14ac:dyDescent="0.3">
      <c r="A42" s="92"/>
      <c r="B42" s="92"/>
      <c r="C42" s="143">
        <f t="shared" si="0"/>
        <v>0</v>
      </c>
      <c r="D42" s="83"/>
      <c r="E42" s="83"/>
      <c r="F42" s="83"/>
      <c r="G42" s="85">
        <v>7000</v>
      </c>
      <c r="H42" s="85">
        <f t="shared" si="2"/>
        <v>0</v>
      </c>
      <c r="I42" s="83"/>
      <c r="J42" s="84">
        <v>9000</v>
      </c>
      <c r="K42" s="86">
        <f t="shared" si="1"/>
        <v>0</v>
      </c>
    </row>
    <row r="43" spans="1:11" s="87" customFormat="1" x14ac:dyDescent="0.3">
      <c r="A43" s="92"/>
      <c r="B43" s="92"/>
      <c r="C43" s="143">
        <f t="shared" si="0"/>
        <v>0</v>
      </c>
      <c r="D43" s="83"/>
      <c r="E43" s="83"/>
      <c r="F43" s="83"/>
      <c r="G43" s="85">
        <v>7000</v>
      </c>
      <c r="H43" s="85">
        <f t="shared" si="2"/>
        <v>0</v>
      </c>
      <c r="I43" s="83"/>
      <c r="J43" s="84">
        <v>9000</v>
      </c>
      <c r="K43" s="86">
        <f t="shared" si="1"/>
        <v>0</v>
      </c>
    </row>
    <row r="44" spans="1:11" s="87" customFormat="1" x14ac:dyDescent="0.3">
      <c r="A44" s="92"/>
      <c r="B44" s="92"/>
      <c r="C44" s="143">
        <f t="shared" si="0"/>
        <v>0</v>
      </c>
      <c r="D44" s="83"/>
      <c r="E44" s="83"/>
      <c r="F44" s="83"/>
      <c r="G44" s="85">
        <v>7000</v>
      </c>
      <c r="H44" s="85">
        <f t="shared" si="2"/>
        <v>0</v>
      </c>
      <c r="I44" s="83"/>
      <c r="J44" s="84">
        <v>9000</v>
      </c>
      <c r="K44" s="86">
        <f t="shared" si="1"/>
        <v>0</v>
      </c>
    </row>
    <row r="45" spans="1:11" s="87" customFormat="1" x14ac:dyDescent="0.3">
      <c r="A45" s="92"/>
      <c r="B45" s="92"/>
      <c r="C45" s="143">
        <f t="shared" si="0"/>
        <v>0</v>
      </c>
      <c r="D45" s="83"/>
      <c r="E45" s="83"/>
      <c r="F45" s="83"/>
      <c r="G45" s="85">
        <v>7000</v>
      </c>
      <c r="H45" s="85">
        <f t="shared" si="2"/>
        <v>0</v>
      </c>
      <c r="I45" s="83"/>
      <c r="J45" s="84">
        <v>9000</v>
      </c>
      <c r="K45" s="86">
        <f t="shared" si="1"/>
        <v>0</v>
      </c>
    </row>
    <row r="46" spans="1:11" s="87" customFormat="1" x14ac:dyDescent="0.3">
      <c r="A46" s="92"/>
      <c r="B46" s="92"/>
      <c r="C46" s="143">
        <f t="shared" si="0"/>
        <v>0</v>
      </c>
      <c r="D46" s="83"/>
      <c r="E46" s="83"/>
      <c r="F46" s="83"/>
      <c r="G46" s="85">
        <v>7000</v>
      </c>
      <c r="H46" s="85">
        <f t="shared" si="2"/>
        <v>0</v>
      </c>
      <c r="I46" s="83"/>
      <c r="J46" s="84">
        <v>9000</v>
      </c>
      <c r="K46" s="86">
        <f t="shared" si="1"/>
        <v>0</v>
      </c>
    </row>
    <row r="47" spans="1:11" s="87" customFormat="1" x14ac:dyDescent="0.3">
      <c r="A47" s="92"/>
      <c r="B47" s="92"/>
      <c r="C47" s="143">
        <f t="shared" si="0"/>
        <v>0</v>
      </c>
      <c r="D47" s="83"/>
      <c r="E47" s="83"/>
      <c r="F47" s="83"/>
      <c r="G47" s="85">
        <v>7000</v>
      </c>
      <c r="H47" s="85">
        <f t="shared" si="2"/>
        <v>0</v>
      </c>
      <c r="I47" s="83"/>
      <c r="J47" s="84">
        <v>9000</v>
      </c>
      <c r="K47" s="86">
        <f t="shared" si="1"/>
        <v>0</v>
      </c>
    </row>
    <row r="48" spans="1:11" s="87" customFormat="1" x14ac:dyDescent="0.3">
      <c r="A48" s="92"/>
      <c r="B48" s="92"/>
      <c r="C48" s="143">
        <f t="shared" si="0"/>
        <v>0</v>
      </c>
      <c r="D48" s="83"/>
      <c r="E48" s="83"/>
      <c r="F48" s="83"/>
      <c r="G48" s="85">
        <v>7000</v>
      </c>
      <c r="H48" s="85">
        <f t="shared" si="2"/>
        <v>0</v>
      </c>
      <c r="I48" s="83"/>
      <c r="J48" s="84">
        <v>9000</v>
      </c>
      <c r="K48" s="86">
        <f t="shared" si="1"/>
        <v>0</v>
      </c>
    </row>
    <row r="49" spans="1:11" s="87" customFormat="1" x14ac:dyDescent="0.3">
      <c r="A49" s="92"/>
      <c r="B49" s="92"/>
      <c r="C49" s="143">
        <f t="shared" si="0"/>
        <v>0</v>
      </c>
      <c r="D49" s="83"/>
      <c r="E49" s="83"/>
      <c r="F49" s="83"/>
      <c r="G49" s="85">
        <v>7000</v>
      </c>
      <c r="H49" s="85">
        <f t="shared" si="2"/>
        <v>0</v>
      </c>
      <c r="I49" s="83"/>
      <c r="J49" s="84">
        <v>9000</v>
      </c>
      <c r="K49" s="86">
        <f t="shared" si="1"/>
        <v>0</v>
      </c>
    </row>
    <row r="50" spans="1:11" s="87" customFormat="1" x14ac:dyDescent="0.3">
      <c r="A50" s="92"/>
      <c r="B50" s="92"/>
      <c r="C50" s="143">
        <f t="shared" si="0"/>
        <v>0</v>
      </c>
      <c r="D50" s="83"/>
      <c r="E50" s="83"/>
      <c r="F50" s="83"/>
      <c r="G50" s="85">
        <v>7000</v>
      </c>
      <c r="H50" s="85">
        <f t="shared" si="2"/>
        <v>0</v>
      </c>
      <c r="I50" s="83"/>
      <c r="J50" s="84">
        <v>9000</v>
      </c>
      <c r="K50" s="86">
        <f t="shared" si="1"/>
        <v>0</v>
      </c>
    </row>
    <row r="51" spans="1:11" s="87" customFormat="1" x14ac:dyDescent="0.3">
      <c r="A51" s="92"/>
      <c r="B51" s="92"/>
      <c r="C51" s="143">
        <f t="shared" si="0"/>
        <v>0</v>
      </c>
      <c r="D51" s="83"/>
      <c r="E51" s="83"/>
      <c r="F51" s="83"/>
      <c r="G51" s="85">
        <v>7000</v>
      </c>
      <c r="H51" s="85">
        <f t="shared" si="2"/>
        <v>0</v>
      </c>
      <c r="I51" s="83"/>
      <c r="J51" s="84">
        <v>9000</v>
      </c>
      <c r="K51" s="86">
        <f t="shared" si="1"/>
        <v>0</v>
      </c>
    </row>
    <row r="52" spans="1:11" s="87" customFormat="1" x14ac:dyDescent="0.3">
      <c r="A52" s="92"/>
      <c r="B52" s="92"/>
      <c r="C52" s="143">
        <f t="shared" si="0"/>
        <v>0</v>
      </c>
      <c r="D52" s="83"/>
      <c r="E52" s="83"/>
      <c r="F52" s="83"/>
      <c r="G52" s="85">
        <v>7000</v>
      </c>
      <c r="H52" s="85">
        <f t="shared" si="2"/>
        <v>0</v>
      </c>
      <c r="I52" s="83"/>
      <c r="J52" s="84">
        <v>9000</v>
      </c>
      <c r="K52" s="86">
        <f t="shared" si="1"/>
        <v>0</v>
      </c>
    </row>
    <row r="53" spans="1:11" s="87" customFormat="1" x14ac:dyDescent="0.3">
      <c r="A53" s="92"/>
      <c r="B53" s="92"/>
      <c r="C53" s="143">
        <f t="shared" si="0"/>
        <v>0</v>
      </c>
      <c r="D53" s="83"/>
      <c r="E53" s="83"/>
      <c r="F53" s="83"/>
      <c r="G53" s="85">
        <v>7000</v>
      </c>
      <c r="H53" s="85">
        <f t="shared" si="2"/>
        <v>0</v>
      </c>
      <c r="I53" s="83"/>
      <c r="J53" s="84">
        <v>9000</v>
      </c>
      <c r="K53" s="86">
        <f t="shared" si="1"/>
        <v>0</v>
      </c>
    </row>
    <row r="54" spans="1:11" s="87" customFormat="1" x14ac:dyDescent="0.3">
      <c r="A54" s="92"/>
      <c r="B54" s="92"/>
      <c r="C54" s="143">
        <f t="shared" si="0"/>
        <v>0</v>
      </c>
      <c r="D54" s="83"/>
      <c r="E54" s="83"/>
      <c r="F54" s="83"/>
      <c r="G54" s="85">
        <v>7000</v>
      </c>
      <c r="H54" s="85">
        <f t="shared" si="2"/>
        <v>0</v>
      </c>
      <c r="I54" s="83"/>
      <c r="J54" s="84">
        <v>9000</v>
      </c>
      <c r="K54" s="86">
        <f t="shared" si="1"/>
        <v>0</v>
      </c>
    </row>
    <row r="55" spans="1:11" s="87" customFormat="1" x14ac:dyDescent="0.3">
      <c r="A55" s="92"/>
      <c r="B55" s="92"/>
      <c r="C55" s="143">
        <f t="shared" si="0"/>
        <v>0</v>
      </c>
      <c r="D55" s="83"/>
      <c r="E55" s="83"/>
      <c r="F55" s="83"/>
      <c r="G55" s="85">
        <v>7000</v>
      </c>
      <c r="H55" s="85">
        <f t="shared" si="2"/>
        <v>0</v>
      </c>
      <c r="I55" s="83"/>
      <c r="J55" s="84">
        <v>9000</v>
      </c>
      <c r="K55" s="86">
        <f t="shared" si="1"/>
        <v>0</v>
      </c>
    </row>
    <row r="56" spans="1:11" s="87" customFormat="1" x14ac:dyDescent="0.3">
      <c r="A56" s="92"/>
      <c r="B56" s="92"/>
      <c r="C56" s="143">
        <f t="shared" si="0"/>
        <v>0</v>
      </c>
      <c r="D56" s="83"/>
      <c r="E56" s="83"/>
      <c r="F56" s="83"/>
      <c r="G56" s="85">
        <v>7000</v>
      </c>
      <c r="H56" s="85">
        <f t="shared" si="2"/>
        <v>0</v>
      </c>
      <c r="I56" s="83"/>
      <c r="J56" s="84">
        <v>9000</v>
      </c>
      <c r="K56" s="86">
        <f t="shared" si="1"/>
        <v>0</v>
      </c>
    </row>
    <row r="57" spans="1:11" s="87" customFormat="1" x14ac:dyDescent="0.3">
      <c r="A57" s="92"/>
      <c r="B57" s="92"/>
      <c r="C57" s="143">
        <f t="shared" si="0"/>
        <v>0</v>
      </c>
      <c r="D57" s="83"/>
      <c r="E57" s="83"/>
      <c r="F57" s="83"/>
      <c r="G57" s="85">
        <v>7000</v>
      </c>
      <c r="H57" s="85">
        <f t="shared" si="2"/>
        <v>0</v>
      </c>
      <c r="I57" s="83"/>
      <c r="J57" s="84">
        <v>9000</v>
      </c>
      <c r="K57" s="86">
        <f t="shared" si="1"/>
        <v>0</v>
      </c>
    </row>
    <row r="58" spans="1:11" s="87" customFormat="1" x14ac:dyDescent="0.3">
      <c r="A58" s="92"/>
      <c r="B58" s="92"/>
      <c r="C58" s="143">
        <f t="shared" si="0"/>
        <v>0</v>
      </c>
      <c r="D58" s="83"/>
      <c r="E58" s="83"/>
      <c r="F58" s="83"/>
      <c r="G58" s="85">
        <v>7000</v>
      </c>
      <c r="H58" s="85">
        <f t="shared" si="2"/>
        <v>0</v>
      </c>
      <c r="I58" s="83"/>
      <c r="J58" s="84">
        <v>9000</v>
      </c>
      <c r="K58" s="86">
        <f t="shared" si="1"/>
        <v>0</v>
      </c>
    </row>
    <row r="59" spans="1:11" s="87" customFormat="1" x14ac:dyDescent="0.3">
      <c r="A59" s="92"/>
      <c r="B59" s="92"/>
      <c r="C59" s="143">
        <f t="shared" si="0"/>
        <v>0</v>
      </c>
      <c r="D59" s="83"/>
      <c r="E59" s="83"/>
      <c r="F59" s="83"/>
      <c r="G59" s="85">
        <v>7000</v>
      </c>
      <c r="H59" s="85">
        <f t="shared" si="2"/>
        <v>0</v>
      </c>
      <c r="I59" s="83"/>
      <c r="J59" s="84">
        <v>9000</v>
      </c>
      <c r="K59" s="86">
        <f t="shared" si="1"/>
        <v>0</v>
      </c>
    </row>
    <row r="60" spans="1:11" s="87" customFormat="1" x14ac:dyDescent="0.3">
      <c r="A60" s="83"/>
      <c r="B60" s="83"/>
      <c r="C60" s="143">
        <f t="shared" si="0"/>
        <v>0</v>
      </c>
      <c r="D60" s="83"/>
      <c r="E60" s="83"/>
      <c r="F60" s="83"/>
      <c r="G60" s="85">
        <v>7000</v>
      </c>
      <c r="H60" s="85">
        <f t="shared" si="2"/>
        <v>0</v>
      </c>
      <c r="I60" s="83"/>
      <c r="J60" s="84">
        <v>9000</v>
      </c>
      <c r="K60" s="86">
        <f t="shared" si="1"/>
        <v>0</v>
      </c>
    </row>
    <row r="61" spans="1:11" s="87" customFormat="1" x14ac:dyDescent="0.3">
      <c r="A61" s="83"/>
      <c r="B61" s="83"/>
      <c r="C61" s="143">
        <f t="shared" si="0"/>
        <v>0</v>
      </c>
      <c r="D61" s="83"/>
      <c r="E61" s="83"/>
      <c r="F61" s="83"/>
      <c r="G61" s="85">
        <v>7000</v>
      </c>
      <c r="H61" s="85">
        <f t="shared" si="2"/>
        <v>0</v>
      </c>
      <c r="I61" s="83"/>
      <c r="J61" s="84">
        <v>9000</v>
      </c>
      <c r="K61" s="86">
        <f t="shared" si="1"/>
        <v>0</v>
      </c>
    </row>
    <row r="62" spans="1:11" s="87" customFormat="1" x14ac:dyDescent="0.3">
      <c r="A62" s="83"/>
      <c r="B62" s="83"/>
      <c r="C62" s="143">
        <f t="shared" si="0"/>
        <v>0</v>
      </c>
      <c r="D62" s="83"/>
      <c r="E62" s="83"/>
      <c r="F62" s="83"/>
      <c r="G62" s="85">
        <v>7000</v>
      </c>
      <c r="H62" s="85">
        <f t="shared" si="2"/>
        <v>0</v>
      </c>
      <c r="I62" s="83"/>
      <c r="J62" s="84">
        <v>9000</v>
      </c>
      <c r="K62" s="86">
        <f t="shared" si="1"/>
        <v>0</v>
      </c>
    </row>
    <row r="63" spans="1:11" s="87" customFormat="1" x14ac:dyDescent="0.3">
      <c r="A63" s="83"/>
      <c r="B63" s="83"/>
      <c r="C63" s="143">
        <f t="shared" si="0"/>
        <v>0</v>
      </c>
      <c r="D63" s="83"/>
      <c r="E63" s="83"/>
      <c r="F63" s="83"/>
      <c r="G63" s="85">
        <v>7000</v>
      </c>
      <c r="H63" s="85">
        <f t="shared" si="2"/>
        <v>0</v>
      </c>
      <c r="I63" s="83"/>
      <c r="J63" s="84">
        <v>9000</v>
      </c>
      <c r="K63" s="86">
        <f t="shared" si="1"/>
        <v>0</v>
      </c>
    </row>
    <row r="64" spans="1:11" s="87" customFormat="1" x14ac:dyDescent="0.3">
      <c r="A64" s="83"/>
      <c r="B64" s="83"/>
      <c r="C64" s="143">
        <f t="shared" si="0"/>
        <v>0</v>
      </c>
      <c r="D64" s="83"/>
      <c r="E64" s="83"/>
      <c r="F64" s="83"/>
      <c r="G64" s="85">
        <v>7000</v>
      </c>
      <c r="H64" s="85">
        <f t="shared" si="2"/>
        <v>0</v>
      </c>
      <c r="I64" s="83"/>
      <c r="J64" s="84">
        <v>9000</v>
      </c>
      <c r="K64" s="86">
        <f t="shared" si="1"/>
        <v>0</v>
      </c>
    </row>
    <row r="65" spans="1:11" s="87" customFormat="1" x14ac:dyDescent="0.3">
      <c r="A65" s="83"/>
      <c r="B65" s="83"/>
      <c r="C65" s="143">
        <f t="shared" si="0"/>
        <v>0</v>
      </c>
      <c r="D65" s="83"/>
      <c r="E65" s="83"/>
      <c r="F65" s="83"/>
      <c r="G65" s="85">
        <v>7000</v>
      </c>
      <c r="H65" s="85">
        <f t="shared" si="2"/>
        <v>0</v>
      </c>
      <c r="I65" s="83"/>
      <c r="J65" s="84">
        <v>9000</v>
      </c>
      <c r="K65" s="86">
        <f t="shared" si="1"/>
        <v>0</v>
      </c>
    </row>
    <row r="66" spans="1:11" s="87" customFormat="1" x14ac:dyDescent="0.3">
      <c r="A66" s="83"/>
      <c r="B66" s="83"/>
      <c r="C66" s="143">
        <f t="shared" si="0"/>
        <v>0</v>
      </c>
      <c r="D66" s="83"/>
      <c r="E66" s="83"/>
      <c r="F66" s="83"/>
      <c r="G66" s="85">
        <v>7000</v>
      </c>
      <c r="H66" s="85">
        <f t="shared" si="2"/>
        <v>0</v>
      </c>
      <c r="I66" s="83"/>
      <c r="J66" s="84">
        <v>9000</v>
      </c>
      <c r="K66" s="86">
        <f t="shared" si="1"/>
        <v>0</v>
      </c>
    </row>
    <row r="67" spans="1:11" s="87" customFormat="1" x14ac:dyDescent="0.3">
      <c r="A67" s="83"/>
      <c r="B67" s="83"/>
      <c r="C67" s="143">
        <f t="shared" si="0"/>
        <v>0</v>
      </c>
      <c r="D67" s="83"/>
      <c r="E67" s="83"/>
      <c r="F67" s="83"/>
      <c r="G67" s="85">
        <v>7000</v>
      </c>
      <c r="H67" s="85">
        <f t="shared" si="2"/>
        <v>0</v>
      </c>
      <c r="I67" s="83"/>
      <c r="J67" s="84">
        <v>9000</v>
      </c>
      <c r="K67" s="86">
        <f t="shared" si="1"/>
        <v>0</v>
      </c>
    </row>
    <row r="68" spans="1:11" s="87" customFormat="1" x14ac:dyDescent="0.3">
      <c r="A68" s="83"/>
      <c r="B68" s="83"/>
      <c r="C68" s="143">
        <f t="shared" si="0"/>
        <v>0</v>
      </c>
      <c r="D68" s="83"/>
      <c r="E68" s="83"/>
      <c r="F68" s="83"/>
      <c r="G68" s="85">
        <v>7000</v>
      </c>
      <c r="H68" s="85">
        <f t="shared" si="2"/>
        <v>0</v>
      </c>
      <c r="I68" s="83"/>
      <c r="J68" s="84">
        <v>9000</v>
      </c>
      <c r="K68" s="86">
        <f t="shared" si="1"/>
        <v>0</v>
      </c>
    </row>
    <row r="69" spans="1:11" s="87" customFormat="1" x14ac:dyDescent="0.3">
      <c r="A69" s="83"/>
      <c r="B69" s="83"/>
      <c r="C69" s="143">
        <f t="shared" si="0"/>
        <v>0</v>
      </c>
      <c r="D69" s="83"/>
      <c r="E69" s="83"/>
      <c r="F69" s="83"/>
      <c r="G69" s="85">
        <v>7000</v>
      </c>
      <c r="H69" s="85">
        <f t="shared" si="2"/>
        <v>0</v>
      </c>
      <c r="I69" s="83"/>
      <c r="J69" s="84">
        <v>9000</v>
      </c>
      <c r="K69" s="86">
        <f t="shared" si="1"/>
        <v>0</v>
      </c>
    </row>
    <row r="70" spans="1:11" s="87" customFormat="1" x14ac:dyDescent="0.3">
      <c r="C70" s="93"/>
      <c r="G70" s="93"/>
      <c r="H70" s="93"/>
      <c r="J70" s="93"/>
      <c r="K70" s="93"/>
    </row>
    <row r="71" spans="1:11" s="87" customFormat="1" x14ac:dyDescent="0.3">
      <c r="B71" s="114"/>
      <c r="C71" s="115"/>
      <c r="D71" s="114"/>
      <c r="E71" s="114"/>
      <c r="F71" s="114"/>
      <c r="G71" s="115"/>
      <c r="H71" s="115"/>
      <c r="I71" s="114"/>
      <c r="J71" s="115"/>
      <c r="K71" s="115"/>
    </row>
    <row r="72" spans="1:11" ht="15" thickBot="1" x14ac:dyDescent="0.35">
      <c r="B72" s="116"/>
      <c r="C72" s="117"/>
      <c r="D72" s="136"/>
      <c r="E72" s="81"/>
      <c r="F72" s="81"/>
      <c r="G72" s="119"/>
      <c r="H72" s="120"/>
      <c r="I72" s="121"/>
      <c r="J72" s="120"/>
      <c r="K72" s="120"/>
    </row>
    <row r="73" spans="1:11" x14ac:dyDescent="0.3">
      <c r="B73" s="163" t="s">
        <v>27</v>
      </c>
      <c r="C73" s="163"/>
      <c r="D73" s="136"/>
      <c r="E73" s="136"/>
      <c r="F73" s="122"/>
      <c r="G73" s="119"/>
      <c r="H73" s="163" t="s">
        <v>29</v>
      </c>
      <c r="I73" s="163"/>
      <c r="J73" s="163"/>
      <c r="K73" s="163"/>
    </row>
    <row r="74" spans="1:11" x14ac:dyDescent="0.3">
      <c r="B74" s="164" t="s">
        <v>28</v>
      </c>
      <c r="C74" s="164"/>
      <c r="D74" s="136"/>
      <c r="E74" s="81"/>
      <c r="F74" s="81"/>
      <c r="G74" s="119"/>
      <c r="H74" s="165" t="s">
        <v>30</v>
      </c>
      <c r="I74" s="165"/>
      <c r="J74" s="165"/>
      <c r="K74" s="165"/>
    </row>
    <row r="75" spans="1:11" x14ac:dyDescent="0.3">
      <c r="B75" s="81"/>
      <c r="C75" s="122"/>
      <c r="D75" s="136"/>
      <c r="E75" s="81"/>
      <c r="F75" s="81"/>
      <c r="G75" s="119"/>
      <c r="H75" s="136"/>
      <c r="I75" s="122"/>
      <c r="J75" s="119"/>
      <c r="K75" s="119"/>
    </row>
    <row r="76" spans="1:11" x14ac:dyDescent="0.3">
      <c r="C76" s="45"/>
      <c r="D76" s="44"/>
    </row>
    <row r="77" spans="1:11" x14ac:dyDescent="0.3">
      <c r="G77" s="78"/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2"/>
  <dimension ref="A1:N77"/>
  <sheetViews>
    <sheetView zoomScaleNormal="100" workbookViewId="0">
      <pane xSplit="1" topLeftCell="B1" activePane="topRight" state="frozen"/>
      <selection pane="topRight" activeCell="C6" sqref="C6:C69"/>
    </sheetView>
  </sheetViews>
  <sheetFormatPr baseColWidth="10" defaultRowHeight="14.4" x14ac:dyDescent="0.3"/>
  <cols>
    <col min="1" max="1" width="11.44140625" style="78"/>
    <col min="2" max="2" width="31.109375" style="78" customWidth="1"/>
    <col min="3" max="3" width="13.33203125" style="79" customWidth="1"/>
    <col min="4" max="4" width="11.44140625" style="78" customWidth="1"/>
    <col min="5" max="5" width="11.109375" style="78" customWidth="1"/>
    <col min="6" max="6" width="11.5546875" style="78" customWidth="1"/>
    <col min="7" max="7" width="8.6640625" style="79" customWidth="1"/>
    <col min="8" max="8" width="15.109375" style="79" customWidth="1"/>
    <col min="9" max="9" width="13.6640625" style="80" customWidth="1"/>
    <col min="10" max="10" width="8.6640625" style="79" customWidth="1"/>
    <col min="11" max="11" width="10.44140625" style="79" customWidth="1"/>
    <col min="12" max="249" width="11.44140625" style="78"/>
    <col min="250" max="250" width="30.33203125" style="78" customWidth="1"/>
    <col min="251" max="251" width="10.44140625" style="78" customWidth="1"/>
    <col min="252" max="253" width="11.44140625" style="78"/>
    <col min="254" max="254" width="10.33203125" style="78" customWidth="1"/>
    <col min="255" max="255" width="9.5546875" style="78" customWidth="1"/>
    <col min="256" max="256" width="13.109375" style="78" customWidth="1"/>
    <col min="257" max="257" width="9.88671875" style="78" customWidth="1"/>
    <col min="258" max="258" width="9.109375" style="78" customWidth="1"/>
    <col min="259" max="260" width="13.88671875" style="78" customWidth="1"/>
    <col min="261" max="261" width="10.5546875" style="78" customWidth="1"/>
    <col min="262" max="262" width="15.109375" style="78" customWidth="1"/>
    <col min="263" max="263" width="20.44140625" style="78" customWidth="1"/>
    <col min="264" max="505" width="11.44140625" style="78"/>
    <col min="506" max="506" width="30.33203125" style="78" customWidth="1"/>
    <col min="507" max="507" width="10.44140625" style="78" customWidth="1"/>
    <col min="508" max="509" width="11.44140625" style="78"/>
    <col min="510" max="510" width="10.33203125" style="78" customWidth="1"/>
    <col min="511" max="511" width="9.5546875" style="78" customWidth="1"/>
    <col min="512" max="512" width="13.109375" style="78" customWidth="1"/>
    <col min="513" max="513" width="9.88671875" style="78" customWidth="1"/>
    <col min="514" max="514" width="9.109375" style="78" customWidth="1"/>
    <col min="515" max="516" width="13.88671875" style="78" customWidth="1"/>
    <col min="517" max="517" width="10.5546875" style="78" customWidth="1"/>
    <col min="518" max="518" width="15.109375" style="78" customWidth="1"/>
    <col min="519" max="519" width="20.44140625" style="78" customWidth="1"/>
    <col min="520" max="761" width="11.44140625" style="78"/>
    <col min="762" max="762" width="30.33203125" style="78" customWidth="1"/>
    <col min="763" max="763" width="10.44140625" style="78" customWidth="1"/>
    <col min="764" max="765" width="11.44140625" style="78"/>
    <col min="766" max="766" width="10.33203125" style="78" customWidth="1"/>
    <col min="767" max="767" width="9.5546875" style="78" customWidth="1"/>
    <col min="768" max="768" width="13.109375" style="78" customWidth="1"/>
    <col min="769" max="769" width="9.88671875" style="78" customWidth="1"/>
    <col min="770" max="770" width="9.109375" style="78" customWidth="1"/>
    <col min="771" max="772" width="13.88671875" style="78" customWidth="1"/>
    <col min="773" max="773" width="10.5546875" style="78" customWidth="1"/>
    <col min="774" max="774" width="15.109375" style="78" customWidth="1"/>
    <col min="775" max="775" width="20.44140625" style="78" customWidth="1"/>
    <col min="776" max="1017" width="11.44140625" style="78"/>
    <col min="1018" max="1018" width="30.33203125" style="78" customWidth="1"/>
    <col min="1019" max="1019" width="10.44140625" style="78" customWidth="1"/>
    <col min="1020" max="1021" width="11.44140625" style="78"/>
    <col min="1022" max="1022" width="10.33203125" style="78" customWidth="1"/>
    <col min="1023" max="1023" width="9.5546875" style="78" customWidth="1"/>
    <col min="1024" max="1024" width="13.109375" style="78" customWidth="1"/>
    <col min="1025" max="1025" width="9.88671875" style="78" customWidth="1"/>
    <col min="1026" max="1026" width="9.109375" style="78" customWidth="1"/>
    <col min="1027" max="1028" width="13.88671875" style="78" customWidth="1"/>
    <col min="1029" max="1029" width="10.5546875" style="78" customWidth="1"/>
    <col min="1030" max="1030" width="15.109375" style="78" customWidth="1"/>
    <col min="1031" max="1031" width="20.44140625" style="78" customWidth="1"/>
    <col min="1032" max="1273" width="11.44140625" style="78"/>
    <col min="1274" max="1274" width="30.33203125" style="78" customWidth="1"/>
    <col min="1275" max="1275" width="10.44140625" style="78" customWidth="1"/>
    <col min="1276" max="1277" width="11.44140625" style="78"/>
    <col min="1278" max="1278" width="10.33203125" style="78" customWidth="1"/>
    <col min="1279" max="1279" width="9.5546875" style="78" customWidth="1"/>
    <col min="1280" max="1280" width="13.109375" style="78" customWidth="1"/>
    <col min="1281" max="1281" width="9.88671875" style="78" customWidth="1"/>
    <col min="1282" max="1282" width="9.109375" style="78" customWidth="1"/>
    <col min="1283" max="1284" width="13.88671875" style="78" customWidth="1"/>
    <col min="1285" max="1285" width="10.5546875" style="78" customWidth="1"/>
    <col min="1286" max="1286" width="15.109375" style="78" customWidth="1"/>
    <col min="1287" max="1287" width="20.44140625" style="78" customWidth="1"/>
    <col min="1288" max="1529" width="11.44140625" style="78"/>
    <col min="1530" max="1530" width="30.33203125" style="78" customWidth="1"/>
    <col min="1531" max="1531" width="10.44140625" style="78" customWidth="1"/>
    <col min="1532" max="1533" width="11.44140625" style="78"/>
    <col min="1534" max="1534" width="10.33203125" style="78" customWidth="1"/>
    <col min="1535" max="1535" width="9.5546875" style="78" customWidth="1"/>
    <col min="1536" max="1536" width="13.109375" style="78" customWidth="1"/>
    <col min="1537" max="1537" width="9.88671875" style="78" customWidth="1"/>
    <col min="1538" max="1538" width="9.109375" style="78" customWidth="1"/>
    <col min="1539" max="1540" width="13.88671875" style="78" customWidth="1"/>
    <col min="1541" max="1541" width="10.5546875" style="78" customWidth="1"/>
    <col min="1542" max="1542" width="15.109375" style="78" customWidth="1"/>
    <col min="1543" max="1543" width="20.44140625" style="78" customWidth="1"/>
    <col min="1544" max="1785" width="11.44140625" style="78"/>
    <col min="1786" max="1786" width="30.33203125" style="78" customWidth="1"/>
    <col min="1787" max="1787" width="10.44140625" style="78" customWidth="1"/>
    <col min="1788" max="1789" width="11.44140625" style="78"/>
    <col min="1790" max="1790" width="10.33203125" style="78" customWidth="1"/>
    <col min="1791" max="1791" width="9.5546875" style="78" customWidth="1"/>
    <col min="1792" max="1792" width="13.109375" style="78" customWidth="1"/>
    <col min="1793" max="1793" width="9.88671875" style="78" customWidth="1"/>
    <col min="1794" max="1794" width="9.109375" style="78" customWidth="1"/>
    <col min="1795" max="1796" width="13.88671875" style="78" customWidth="1"/>
    <col min="1797" max="1797" width="10.5546875" style="78" customWidth="1"/>
    <col min="1798" max="1798" width="15.109375" style="78" customWidth="1"/>
    <col min="1799" max="1799" width="20.44140625" style="78" customWidth="1"/>
    <col min="1800" max="2041" width="11.44140625" style="78"/>
    <col min="2042" max="2042" width="30.33203125" style="78" customWidth="1"/>
    <col min="2043" max="2043" width="10.44140625" style="78" customWidth="1"/>
    <col min="2044" max="2045" width="11.44140625" style="78"/>
    <col min="2046" max="2046" width="10.33203125" style="78" customWidth="1"/>
    <col min="2047" max="2047" width="9.5546875" style="78" customWidth="1"/>
    <col min="2048" max="2048" width="13.109375" style="78" customWidth="1"/>
    <col min="2049" max="2049" width="9.88671875" style="78" customWidth="1"/>
    <col min="2050" max="2050" width="9.109375" style="78" customWidth="1"/>
    <col min="2051" max="2052" width="13.88671875" style="78" customWidth="1"/>
    <col min="2053" max="2053" width="10.5546875" style="78" customWidth="1"/>
    <col min="2054" max="2054" width="15.109375" style="78" customWidth="1"/>
    <col min="2055" max="2055" width="20.44140625" style="78" customWidth="1"/>
    <col min="2056" max="2297" width="11.44140625" style="78"/>
    <col min="2298" max="2298" width="30.33203125" style="78" customWidth="1"/>
    <col min="2299" max="2299" width="10.44140625" style="78" customWidth="1"/>
    <col min="2300" max="2301" width="11.44140625" style="78"/>
    <col min="2302" max="2302" width="10.33203125" style="78" customWidth="1"/>
    <col min="2303" max="2303" width="9.5546875" style="78" customWidth="1"/>
    <col min="2304" max="2304" width="13.109375" style="78" customWidth="1"/>
    <col min="2305" max="2305" width="9.88671875" style="78" customWidth="1"/>
    <col min="2306" max="2306" width="9.109375" style="78" customWidth="1"/>
    <col min="2307" max="2308" width="13.88671875" style="78" customWidth="1"/>
    <col min="2309" max="2309" width="10.5546875" style="78" customWidth="1"/>
    <col min="2310" max="2310" width="15.109375" style="78" customWidth="1"/>
    <col min="2311" max="2311" width="20.44140625" style="78" customWidth="1"/>
    <col min="2312" max="2553" width="11.44140625" style="78"/>
    <col min="2554" max="2554" width="30.33203125" style="78" customWidth="1"/>
    <col min="2555" max="2555" width="10.44140625" style="78" customWidth="1"/>
    <col min="2556" max="2557" width="11.44140625" style="78"/>
    <col min="2558" max="2558" width="10.33203125" style="78" customWidth="1"/>
    <col min="2559" max="2559" width="9.5546875" style="78" customWidth="1"/>
    <col min="2560" max="2560" width="13.109375" style="78" customWidth="1"/>
    <col min="2561" max="2561" width="9.88671875" style="78" customWidth="1"/>
    <col min="2562" max="2562" width="9.109375" style="78" customWidth="1"/>
    <col min="2563" max="2564" width="13.88671875" style="78" customWidth="1"/>
    <col min="2565" max="2565" width="10.5546875" style="78" customWidth="1"/>
    <col min="2566" max="2566" width="15.109375" style="78" customWidth="1"/>
    <col min="2567" max="2567" width="20.44140625" style="78" customWidth="1"/>
    <col min="2568" max="2809" width="11.44140625" style="78"/>
    <col min="2810" max="2810" width="30.33203125" style="78" customWidth="1"/>
    <col min="2811" max="2811" width="10.44140625" style="78" customWidth="1"/>
    <col min="2812" max="2813" width="11.44140625" style="78"/>
    <col min="2814" max="2814" width="10.33203125" style="78" customWidth="1"/>
    <col min="2815" max="2815" width="9.5546875" style="78" customWidth="1"/>
    <col min="2816" max="2816" width="13.109375" style="78" customWidth="1"/>
    <col min="2817" max="2817" width="9.88671875" style="78" customWidth="1"/>
    <col min="2818" max="2818" width="9.109375" style="78" customWidth="1"/>
    <col min="2819" max="2820" width="13.88671875" style="78" customWidth="1"/>
    <col min="2821" max="2821" width="10.5546875" style="78" customWidth="1"/>
    <col min="2822" max="2822" width="15.109375" style="78" customWidth="1"/>
    <col min="2823" max="2823" width="20.44140625" style="78" customWidth="1"/>
    <col min="2824" max="3065" width="11.44140625" style="78"/>
    <col min="3066" max="3066" width="30.33203125" style="78" customWidth="1"/>
    <col min="3067" max="3067" width="10.44140625" style="78" customWidth="1"/>
    <col min="3068" max="3069" width="11.44140625" style="78"/>
    <col min="3070" max="3070" width="10.33203125" style="78" customWidth="1"/>
    <col min="3071" max="3071" width="9.5546875" style="78" customWidth="1"/>
    <col min="3072" max="3072" width="13.109375" style="78" customWidth="1"/>
    <col min="3073" max="3073" width="9.88671875" style="78" customWidth="1"/>
    <col min="3074" max="3074" width="9.109375" style="78" customWidth="1"/>
    <col min="3075" max="3076" width="13.88671875" style="78" customWidth="1"/>
    <col min="3077" max="3077" width="10.5546875" style="78" customWidth="1"/>
    <col min="3078" max="3078" width="15.109375" style="78" customWidth="1"/>
    <col min="3079" max="3079" width="20.44140625" style="78" customWidth="1"/>
    <col min="3080" max="3321" width="11.44140625" style="78"/>
    <col min="3322" max="3322" width="30.33203125" style="78" customWidth="1"/>
    <col min="3323" max="3323" width="10.44140625" style="78" customWidth="1"/>
    <col min="3324" max="3325" width="11.44140625" style="78"/>
    <col min="3326" max="3326" width="10.33203125" style="78" customWidth="1"/>
    <col min="3327" max="3327" width="9.5546875" style="78" customWidth="1"/>
    <col min="3328" max="3328" width="13.109375" style="78" customWidth="1"/>
    <col min="3329" max="3329" width="9.88671875" style="78" customWidth="1"/>
    <col min="3330" max="3330" width="9.109375" style="78" customWidth="1"/>
    <col min="3331" max="3332" width="13.88671875" style="78" customWidth="1"/>
    <col min="3333" max="3333" width="10.5546875" style="78" customWidth="1"/>
    <col min="3334" max="3334" width="15.109375" style="78" customWidth="1"/>
    <col min="3335" max="3335" width="20.44140625" style="78" customWidth="1"/>
    <col min="3336" max="3577" width="11.44140625" style="78"/>
    <col min="3578" max="3578" width="30.33203125" style="78" customWidth="1"/>
    <col min="3579" max="3579" width="10.44140625" style="78" customWidth="1"/>
    <col min="3580" max="3581" width="11.44140625" style="78"/>
    <col min="3582" max="3582" width="10.33203125" style="78" customWidth="1"/>
    <col min="3583" max="3583" width="9.5546875" style="78" customWidth="1"/>
    <col min="3584" max="3584" width="13.109375" style="78" customWidth="1"/>
    <col min="3585" max="3585" width="9.88671875" style="78" customWidth="1"/>
    <col min="3586" max="3586" width="9.109375" style="78" customWidth="1"/>
    <col min="3587" max="3588" width="13.88671875" style="78" customWidth="1"/>
    <col min="3589" max="3589" width="10.5546875" style="78" customWidth="1"/>
    <col min="3590" max="3590" width="15.109375" style="78" customWidth="1"/>
    <col min="3591" max="3591" width="20.44140625" style="78" customWidth="1"/>
    <col min="3592" max="3833" width="11.44140625" style="78"/>
    <col min="3834" max="3834" width="30.33203125" style="78" customWidth="1"/>
    <col min="3835" max="3835" width="10.44140625" style="78" customWidth="1"/>
    <col min="3836" max="3837" width="11.44140625" style="78"/>
    <col min="3838" max="3838" width="10.33203125" style="78" customWidth="1"/>
    <col min="3839" max="3839" width="9.5546875" style="78" customWidth="1"/>
    <col min="3840" max="3840" width="13.109375" style="78" customWidth="1"/>
    <col min="3841" max="3841" width="9.88671875" style="78" customWidth="1"/>
    <col min="3842" max="3842" width="9.109375" style="78" customWidth="1"/>
    <col min="3843" max="3844" width="13.88671875" style="78" customWidth="1"/>
    <col min="3845" max="3845" width="10.5546875" style="78" customWidth="1"/>
    <col min="3846" max="3846" width="15.109375" style="78" customWidth="1"/>
    <col min="3847" max="3847" width="20.44140625" style="78" customWidth="1"/>
    <col min="3848" max="4089" width="11.44140625" style="78"/>
    <col min="4090" max="4090" width="30.33203125" style="78" customWidth="1"/>
    <col min="4091" max="4091" width="10.44140625" style="78" customWidth="1"/>
    <col min="4092" max="4093" width="11.44140625" style="78"/>
    <col min="4094" max="4094" width="10.33203125" style="78" customWidth="1"/>
    <col min="4095" max="4095" width="9.5546875" style="78" customWidth="1"/>
    <col min="4096" max="4096" width="13.109375" style="78" customWidth="1"/>
    <col min="4097" max="4097" width="9.88671875" style="78" customWidth="1"/>
    <col min="4098" max="4098" width="9.109375" style="78" customWidth="1"/>
    <col min="4099" max="4100" width="13.88671875" style="78" customWidth="1"/>
    <col min="4101" max="4101" width="10.5546875" style="78" customWidth="1"/>
    <col min="4102" max="4102" width="15.109375" style="78" customWidth="1"/>
    <col min="4103" max="4103" width="20.44140625" style="78" customWidth="1"/>
    <col min="4104" max="4345" width="11.44140625" style="78"/>
    <col min="4346" max="4346" width="30.33203125" style="78" customWidth="1"/>
    <col min="4347" max="4347" width="10.44140625" style="78" customWidth="1"/>
    <col min="4348" max="4349" width="11.44140625" style="78"/>
    <col min="4350" max="4350" width="10.33203125" style="78" customWidth="1"/>
    <col min="4351" max="4351" width="9.5546875" style="78" customWidth="1"/>
    <col min="4352" max="4352" width="13.109375" style="78" customWidth="1"/>
    <col min="4353" max="4353" width="9.88671875" style="78" customWidth="1"/>
    <col min="4354" max="4354" width="9.109375" style="78" customWidth="1"/>
    <col min="4355" max="4356" width="13.88671875" style="78" customWidth="1"/>
    <col min="4357" max="4357" width="10.5546875" style="78" customWidth="1"/>
    <col min="4358" max="4358" width="15.109375" style="78" customWidth="1"/>
    <col min="4359" max="4359" width="20.44140625" style="78" customWidth="1"/>
    <col min="4360" max="4601" width="11.44140625" style="78"/>
    <col min="4602" max="4602" width="30.33203125" style="78" customWidth="1"/>
    <col min="4603" max="4603" width="10.44140625" style="78" customWidth="1"/>
    <col min="4604" max="4605" width="11.44140625" style="78"/>
    <col min="4606" max="4606" width="10.33203125" style="78" customWidth="1"/>
    <col min="4607" max="4607" width="9.5546875" style="78" customWidth="1"/>
    <col min="4608" max="4608" width="13.109375" style="78" customWidth="1"/>
    <col min="4609" max="4609" width="9.88671875" style="78" customWidth="1"/>
    <col min="4610" max="4610" width="9.109375" style="78" customWidth="1"/>
    <col min="4611" max="4612" width="13.88671875" style="78" customWidth="1"/>
    <col min="4613" max="4613" width="10.5546875" style="78" customWidth="1"/>
    <col min="4614" max="4614" width="15.109375" style="78" customWidth="1"/>
    <col min="4615" max="4615" width="20.44140625" style="78" customWidth="1"/>
    <col min="4616" max="4857" width="11.44140625" style="78"/>
    <col min="4858" max="4858" width="30.33203125" style="78" customWidth="1"/>
    <col min="4859" max="4859" width="10.44140625" style="78" customWidth="1"/>
    <col min="4860" max="4861" width="11.44140625" style="78"/>
    <col min="4862" max="4862" width="10.33203125" style="78" customWidth="1"/>
    <col min="4863" max="4863" width="9.5546875" style="78" customWidth="1"/>
    <col min="4864" max="4864" width="13.109375" style="78" customWidth="1"/>
    <col min="4865" max="4865" width="9.88671875" style="78" customWidth="1"/>
    <col min="4866" max="4866" width="9.109375" style="78" customWidth="1"/>
    <col min="4867" max="4868" width="13.88671875" style="78" customWidth="1"/>
    <col min="4869" max="4869" width="10.5546875" style="78" customWidth="1"/>
    <col min="4870" max="4870" width="15.109375" style="78" customWidth="1"/>
    <col min="4871" max="4871" width="20.44140625" style="78" customWidth="1"/>
    <col min="4872" max="5113" width="11.44140625" style="78"/>
    <col min="5114" max="5114" width="30.33203125" style="78" customWidth="1"/>
    <col min="5115" max="5115" width="10.44140625" style="78" customWidth="1"/>
    <col min="5116" max="5117" width="11.44140625" style="78"/>
    <col min="5118" max="5118" width="10.33203125" style="78" customWidth="1"/>
    <col min="5119" max="5119" width="9.5546875" style="78" customWidth="1"/>
    <col min="5120" max="5120" width="13.109375" style="78" customWidth="1"/>
    <col min="5121" max="5121" width="9.88671875" style="78" customWidth="1"/>
    <col min="5122" max="5122" width="9.109375" style="78" customWidth="1"/>
    <col min="5123" max="5124" width="13.88671875" style="78" customWidth="1"/>
    <col min="5125" max="5125" width="10.5546875" style="78" customWidth="1"/>
    <col min="5126" max="5126" width="15.109375" style="78" customWidth="1"/>
    <col min="5127" max="5127" width="20.44140625" style="78" customWidth="1"/>
    <col min="5128" max="5369" width="11.44140625" style="78"/>
    <col min="5370" max="5370" width="30.33203125" style="78" customWidth="1"/>
    <col min="5371" max="5371" width="10.44140625" style="78" customWidth="1"/>
    <col min="5372" max="5373" width="11.44140625" style="78"/>
    <col min="5374" max="5374" width="10.33203125" style="78" customWidth="1"/>
    <col min="5375" max="5375" width="9.5546875" style="78" customWidth="1"/>
    <col min="5376" max="5376" width="13.109375" style="78" customWidth="1"/>
    <col min="5377" max="5377" width="9.88671875" style="78" customWidth="1"/>
    <col min="5378" max="5378" width="9.109375" style="78" customWidth="1"/>
    <col min="5379" max="5380" width="13.88671875" style="78" customWidth="1"/>
    <col min="5381" max="5381" width="10.5546875" style="78" customWidth="1"/>
    <col min="5382" max="5382" width="15.109375" style="78" customWidth="1"/>
    <col min="5383" max="5383" width="20.44140625" style="78" customWidth="1"/>
    <col min="5384" max="5625" width="11.44140625" style="78"/>
    <col min="5626" max="5626" width="30.33203125" style="78" customWidth="1"/>
    <col min="5627" max="5627" width="10.44140625" style="78" customWidth="1"/>
    <col min="5628" max="5629" width="11.44140625" style="78"/>
    <col min="5630" max="5630" width="10.33203125" style="78" customWidth="1"/>
    <col min="5631" max="5631" width="9.5546875" style="78" customWidth="1"/>
    <col min="5632" max="5632" width="13.109375" style="78" customWidth="1"/>
    <col min="5633" max="5633" width="9.88671875" style="78" customWidth="1"/>
    <col min="5634" max="5634" width="9.109375" style="78" customWidth="1"/>
    <col min="5635" max="5636" width="13.88671875" style="78" customWidth="1"/>
    <col min="5637" max="5637" width="10.5546875" style="78" customWidth="1"/>
    <col min="5638" max="5638" width="15.109375" style="78" customWidth="1"/>
    <col min="5639" max="5639" width="20.44140625" style="78" customWidth="1"/>
    <col min="5640" max="5881" width="11.44140625" style="78"/>
    <col min="5882" max="5882" width="30.33203125" style="78" customWidth="1"/>
    <col min="5883" max="5883" width="10.44140625" style="78" customWidth="1"/>
    <col min="5884" max="5885" width="11.44140625" style="78"/>
    <col min="5886" max="5886" width="10.33203125" style="78" customWidth="1"/>
    <col min="5887" max="5887" width="9.5546875" style="78" customWidth="1"/>
    <col min="5888" max="5888" width="13.109375" style="78" customWidth="1"/>
    <col min="5889" max="5889" width="9.88671875" style="78" customWidth="1"/>
    <col min="5890" max="5890" width="9.109375" style="78" customWidth="1"/>
    <col min="5891" max="5892" width="13.88671875" style="78" customWidth="1"/>
    <col min="5893" max="5893" width="10.5546875" style="78" customWidth="1"/>
    <col min="5894" max="5894" width="15.109375" style="78" customWidth="1"/>
    <col min="5895" max="5895" width="20.44140625" style="78" customWidth="1"/>
    <col min="5896" max="6137" width="11.44140625" style="78"/>
    <col min="6138" max="6138" width="30.33203125" style="78" customWidth="1"/>
    <col min="6139" max="6139" width="10.44140625" style="78" customWidth="1"/>
    <col min="6140" max="6141" width="11.44140625" style="78"/>
    <col min="6142" max="6142" width="10.33203125" style="78" customWidth="1"/>
    <col min="6143" max="6143" width="9.5546875" style="78" customWidth="1"/>
    <col min="6144" max="6144" width="13.109375" style="78" customWidth="1"/>
    <col min="6145" max="6145" width="9.88671875" style="78" customWidth="1"/>
    <col min="6146" max="6146" width="9.109375" style="78" customWidth="1"/>
    <col min="6147" max="6148" width="13.88671875" style="78" customWidth="1"/>
    <col min="6149" max="6149" width="10.5546875" style="78" customWidth="1"/>
    <col min="6150" max="6150" width="15.109375" style="78" customWidth="1"/>
    <col min="6151" max="6151" width="20.44140625" style="78" customWidth="1"/>
    <col min="6152" max="6393" width="11.44140625" style="78"/>
    <col min="6394" max="6394" width="30.33203125" style="78" customWidth="1"/>
    <col min="6395" max="6395" width="10.44140625" style="78" customWidth="1"/>
    <col min="6396" max="6397" width="11.44140625" style="78"/>
    <col min="6398" max="6398" width="10.33203125" style="78" customWidth="1"/>
    <col min="6399" max="6399" width="9.5546875" style="78" customWidth="1"/>
    <col min="6400" max="6400" width="13.109375" style="78" customWidth="1"/>
    <col min="6401" max="6401" width="9.88671875" style="78" customWidth="1"/>
    <col min="6402" max="6402" width="9.109375" style="78" customWidth="1"/>
    <col min="6403" max="6404" width="13.88671875" style="78" customWidth="1"/>
    <col min="6405" max="6405" width="10.5546875" style="78" customWidth="1"/>
    <col min="6406" max="6406" width="15.109375" style="78" customWidth="1"/>
    <col min="6407" max="6407" width="20.44140625" style="78" customWidth="1"/>
    <col min="6408" max="6649" width="11.44140625" style="78"/>
    <col min="6650" max="6650" width="30.33203125" style="78" customWidth="1"/>
    <col min="6651" max="6651" width="10.44140625" style="78" customWidth="1"/>
    <col min="6652" max="6653" width="11.44140625" style="78"/>
    <col min="6654" max="6654" width="10.33203125" style="78" customWidth="1"/>
    <col min="6655" max="6655" width="9.5546875" style="78" customWidth="1"/>
    <col min="6656" max="6656" width="13.109375" style="78" customWidth="1"/>
    <col min="6657" max="6657" width="9.88671875" style="78" customWidth="1"/>
    <col min="6658" max="6658" width="9.109375" style="78" customWidth="1"/>
    <col min="6659" max="6660" width="13.88671875" style="78" customWidth="1"/>
    <col min="6661" max="6661" width="10.5546875" style="78" customWidth="1"/>
    <col min="6662" max="6662" width="15.109375" style="78" customWidth="1"/>
    <col min="6663" max="6663" width="20.44140625" style="78" customWidth="1"/>
    <col min="6664" max="6905" width="11.44140625" style="78"/>
    <col min="6906" max="6906" width="30.33203125" style="78" customWidth="1"/>
    <col min="6907" max="6907" width="10.44140625" style="78" customWidth="1"/>
    <col min="6908" max="6909" width="11.44140625" style="78"/>
    <col min="6910" max="6910" width="10.33203125" style="78" customWidth="1"/>
    <col min="6911" max="6911" width="9.5546875" style="78" customWidth="1"/>
    <col min="6912" max="6912" width="13.109375" style="78" customWidth="1"/>
    <col min="6913" max="6913" width="9.88671875" style="78" customWidth="1"/>
    <col min="6914" max="6914" width="9.109375" style="78" customWidth="1"/>
    <col min="6915" max="6916" width="13.88671875" style="78" customWidth="1"/>
    <col min="6917" max="6917" width="10.5546875" style="78" customWidth="1"/>
    <col min="6918" max="6918" width="15.109375" style="78" customWidth="1"/>
    <col min="6919" max="6919" width="20.44140625" style="78" customWidth="1"/>
    <col min="6920" max="7161" width="11.44140625" style="78"/>
    <col min="7162" max="7162" width="30.33203125" style="78" customWidth="1"/>
    <col min="7163" max="7163" width="10.44140625" style="78" customWidth="1"/>
    <col min="7164" max="7165" width="11.44140625" style="78"/>
    <col min="7166" max="7166" width="10.33203125" style="78" customWidth="1"/>
    <col min="7167" max="7167" width="9.5546875" style="78" customWidth="1"/>
    <col min="7168" max="7168" width="13.109375" style="78" customWidth="1"/>
    <col min="7169" max="7169" width="9.88671875" style="78" customWidth="1"/>
    <col min="7170" max="7170" width="9.109375" style="78" customWidth="1"/>
    <col min="7171" max="7172" width="13.88671875" style="78" customWidth="1"/>
    <col min="7173" max="7173" width="10.5546875" style="78" customWidth="1"/>
    <col min="7174" max="7174" width="15.109375" style="78" customWidth="1"/>
    <col min="7175" max="7175" width="20.44140625" style="78" customWidth="1"/>
    <col min="7176" max="7417" width="11.44140625" style="78"/>
    <col min="7418" max="7418" width="30.33203125" style="78" customWidth="1"/>
    <col min="7419" max="7419" width="10.44140625" style="78" customWidth="1"/>
    <col min="7420" max="7421" width="11.44140625" style="78"/>
    <col min="7422" max="7422" width="10.33203125" style="78" customWidth="1"/>
    <col min="7423" max="7423" width="9.5546875" style="78" customWidth="1"/>
    <col min="7424" max="7424" width="13.109375" style="78" customWidth="1"/>
    <col min="7425" max="7425" width="9.88671875" style="78" customWidth="1"/>
    <col min="7426" max="7426" width="9.109375" style="78" customWidth="1"/>
    <col min="7427" max="7428" width="13.88671875" style="78" customWidth="1"/>
    <col min="7429" max="7429" width="10.5546875" style="78" customWidth="1"/>
    <col min="7430" max="7430" width="15.109375" style="78" customWidth="1"/>
    <col min="7431" max="7431" width="20.44140625" style="78" customWidth="1"/>
    <col min="7432" max="7673" width="11.44140625" style="78"/>
    <col min="7674" max="7674" width="30.33203125" style="78" customWidth="1"/>
    <col min="7675" max="7675" width="10.44140625" style="78" customWidth="1"/>
    <col min="7676" max="7677" width="11.44140625" style="78"/>
    <col min="7678" max="7678" width="10.33203125" style="78" customWidth="1"/>
    <col min="7679" max="7679" width="9.5546875" style="78" customWidth="1"/>
    <col min="7680" max="7680" width="13.109375" style="78" customWidth="1"/>
    <col min="7681" max="7681" width="9.88671875" style="78" customWidth="1"/>
    <col min="7682" max="7682" width="9.109375" style="78" customWidth="1"/>
    <col min="7683" max="7684" width="13.88671875" style="78" customWidth="1"/>
    <col min="7685" max="7685" width="10.5546875" style="78" customWidth="1"/>
    <col min="7686" max="7686" width="15.109375" style="78" customWidth="1"/>
    <col min="7687" max="7687" width="20.44140625" style="78" customWidth="1"/>
    <col min="7688" max="7929" width="11.44140625" style="78"/>
    <col min="7930" max="7930" width="30.33203125" style="78" customWidth="1"/>
    <col min="7931" max="7931" width="10.44140625" style="78" customWidth="1"/>
    <col min="7932" max="7933" width="11.44140625" style="78"/>
    <col min="7934" max="7934" width="10.33203125" style="78" customWidth="1"/>
    <col min="7935" max="7935" width="9.5546875" style="78" customWidth="1"/>
    <col min="7936" max="7936" width="13.109375" style="78" customWidth="1"/>
    <col min="7937" max="7937" width="9.88671875" style="78" customWidth="1"/>
    <col min="7938" max="7938" width="9.109375" style="78" customWidth="1"/>
    <col min="7939" max="7940" width="13.88671875" style="78" customWidth="1"/>
    <col min="7941" max="7941" width="10.5546875" style="78" customWidth="1"/>
    <col min="7942" max="7942" width="15.109375" style="78" customWidth="1"/>
    <col min="7943" max="7943" width="20.44140625" style="78" customWidth="1"/>
    <col min="7944" max="8185" width="11.44140625" style="78"/>
    <col min="8186" max="8186" width="30.33203125" style="78" customWidth="1"/>
    <col min="8187" max="8187" width="10.44140625" style="78" customWidth="1"/>
    <col min="8188" max="8189" width="11.44140625" style="78"/>
    <col min="8190" max="8190" width="10.33203125" style="78" customWidth="1"/>
    <col min="8191" max="8191" width="9.5546875" style="78" customWidth="1"/>
    <col min="8192" max="8192" width="13.109375" style="78" customWidth="1"/>
    <col min="8193" max="8193" width="9.88671875" style="78" customWidth="1"/>
    <col min="8194" max="8194" width="9.109375" style="78" customWidth="1"/>
    <col min="8195" max="8196" width="13.88671875" style="78" customWidth="1"/>
    <col min="8197" max="8197" width="10.5546875" style="78" customWidth="1"/>
    <col min="8198" max="8198" width="15.109375" style="78" customWidth="1"/>
    <col min="8199" max="8199" width="20.44140625" style="78" customWidth="1"/>
    <col min="8200" max="8441" width="11.44140625" style="78"/>
    <col min="8442" max="8442" width="30.33203125" style="78" customWidth="1"/>
    <col min="8443" max="8443" width="10.44140625" style="78" customWidth="1"/>
    <col min="8444" max="8445" width="11.44140625" style="78"/>
    <col min="8446" max="8446" width="10.33203125" style="78" customWidth="1"/>
    <col min="8447" max="8447" width="9.5546875" style="78" customWidth="1"/>
    <col min="8448" max="8448" width="13.109375" style="78" customWidth="1"/>
    <col min="8449" max="8449" width="9.88671875" style="78" customWidth="1"/>
    <col min="8450" max="8450" width="9.109375" style="78" customWidth="1"/>
    <col min="8451" max="8452" width="13.88671875" style="78" customWidth="1"/>
    <col min="8453" max="8453" width="10.5546875" style="78" customWidth="1"/>
    <col min="8454" max="8454" width="15.109375" style="78" customWidth="1"/>
    <col min="8455" max="8455" width="20.44140625" style="78" customWidth="1"/>
    <col min="8456" max="8697" width="11.44140625" style="78"/>
    <col min="8698" max="8698" width="30.33203125" style="78" customWidth="1"/>
    <col min="8699" max="8699" width="10.44140625" style="78" customWidth="1"/>
    <col min="8700" max="8701" width="11.44140625" style="78"/>
    <col min="8702" max="8702" width="10.33203125" style="78" customWidth="1"/>
    <col min="8703" max="8703" width="9.5546875" style="78" customWidth="1"/>
    <col min="8704" max="8704" width="13.109375" style="78" customWidth="1"/>
    <col min="8705" max="8705" width="9.88671875" style="78" customWidth="1"/>
    <col min="8706" max="8706" width="9.109375" style="78" customWidth="1"/>
    <col min="8707" max="8708" width="13.88671875" style="78" customWidth="1"/>
    <col min="8709" max="8709" width="10.5546875" style="78" customWidth="1"/>
    <col min="8710" max="8710" width="15.109375" style="78" customWidth="1"/>
    <col min="8711" max="8711" width="20.44140625" style="78" customWidth="1"/>
    <col min="8712" max="8953" width="11.44140625" style="78"/>
    <col min="8954" max="8954" width="30.33203125" style="78" customWidth="1"/>
    <col min="8955" max="8955" width="10.44140625" style="78" customWidth="1"/>
    <col min="8956" max="8957" width="11.44140625" style="78"/>
    <col min="8958" max="8958" width="10.33203125" style="78" customWidth="1"/>
    <col min="8959" max="8959" width="9.5546875" style="78" customWidth="1"/>
    <col min="8960" max="8960" width="13.109375" style="78" customWidth="1"/>
    <col min="8961" max="8961" width="9.88671875" style="78" customWidth="1"/>
    <col min="8962" max="8962" width="9.109375" style="78" customWidth="1"/>
    <col min="8963" max="8964" width="13.88671875" style="78" customWidth="1"/>
    <col min="8965" max="8965" width="10.5546875" style="78" customWidth="1"/>
    <col min="8966" max="8966" width="15.109375" style="78" customWidth="1"/>
    <col min="8967" max="8967" width="20.44140625" style="78" customWidth="1"/>
    <col min="8968" max="9209" width="11.44140625" style="78"/>
    <col min="9210" max="9210" width="30.33203125" style="78" customWidth="1"/>
    <col min="9211" max="9211" width="10.44140625" style="78" customWidth="1"/>
    <col min="9212" max="9213" width="11.44140625" style="78"/>
    <col min="9214" max="9214" width="10.33203125" style="78" customWidth="1"/>
    <col min="9215" max="9215" width="9.5546875" style="78" customWidth="1"/>
    <col min="9216" max="9216" width="13.109375" style="78" customWidth="1"/>
    <col min="9217" max="9217" width="9.88671875" style="78" customWidth="1"/>
    <col min="9218" max="9218" width="9.109375" style="78" customWidth="1"/>
    <col min="9219" max="9220" width="13.88671875" style="78" customWidth="1"/>
    <col min="9221" max="9221" width="10.5546875" style="78" customWidth="1"/>
    <col min="9222" max="9222" width="15.109375" style="78" customWidth="1"/>
    <col min="9223" max="9223" width="20.44140625" style="78" customWidth="1"/>
    <col min="9224" max="9465" width="11.44140625" style="78"/>
    <col min="9466" max="9466" width="30.33203125" style="78" customWidth="1"/>
    <col min="9467" max="9467" width="10.44140625" style="78" customWidth="1"/>
    <col min="9468" max="9469" width="11.44140625" style="78"/>
    <col min="9470" max="9470" width="10.33203125" style="78" customWidth="1"/>
    <col min="9471" max="9471" width="9.5546875" style="78" customWidth="1"/>
    <col min="9472" max="9472" width="13.109375" style="78" customWidth="1"/>
    <col min="9473" max="9473" width="9.88671875" style="78" customWidth="1"/>
    <col min="9474" max="9474" width="9.109375" style="78" customWidth="1"/>
    <col min="9475" max="9476" width="13.88671875" style="78" customWidth="1"/>
    <col min="9477" max="9477" width="10.5546875" style="78" customWidth="1"/>
    <col min="9478" max="9478" width="15.109375" style="78" customWidth="1"/>
    <col min="9479" max="9479" width="20.44140625" style="78" customWidth="1"/>
    <col min="9480" max="9721" width="11.44140625" style="78"/>
    <col min="9722" max="9722" width="30.33203125" style="78" customWidth="1"/>
    <col min="9723" max="9723" width="10.44140625" style="78" customWidth="1"/>
    <col min="9724" max="9725" width="11.44140625" style="78"/>
    <col min="9726" max="9726" width="10.33203125" style="78" customWidth="1"/>
    <col min="9727" max="9727" width="9.5546875" style="78" customWidth="1"/>
    <col min="9728" max="9728" width="13.109375" style="78" customWidth="1"/>
    <col min="9729" max="9729" width="9.88671875" style="78" customWidth="1"/>
    <col min="9730" max="9730" width="9.109375" style="78" customWidth="1"/>
    <col min="9731" max="9732" width="13.88671875" style="78" customWidth="1"/>
    <col min="9733" max="9733" width="10.5546875" style="78" customWidth="1"/>
    <col min="9734" max="9734" width="15.109375" style="78" customWidth="1"/>
    <col min="9735" max="9735" width="20.44140625" style="78" customWidth="1"/>
    <col min="9736" max="9977" width="11.44140625" style="78"/>
    <col min="9978" max="9978" width="30.33203125" style="78" customWidth="1"/>
    <col min="9979" max="9979" width="10.44140625" style="78" customWidth="1"/>
    <col min="9980" max="9981" width="11.44140625" style="78"/>
    <col min="9982" max="9982" width="10.33203125" style="78" customWidth="1"/>
    <col min="9983" max="9983" width="9.5546875" style="78" customWidth="1"/>
    <col min="9984" max="9984" width="13.109375" style="78" customWidth="1"/>
    <col min="9985" max="9985" width="9.88671875" style="78" customWidth="1"/>
    <col min="9986" max="9986" width="9.109375" style="78" customWidth="1"/>
    <col min="9987" max="9988" width="13.88671875" style="78" customWidth="1"/>
    <col min="9989" max="9989" width="10.5546875" style="78" customWidth="1"/>
    <col min="9990" max="9990" width="15.109375" style="78" customWidth="1"/>
    <col min="9991" max="9991" width="20.44140625" style="78" customWidth="1"/>
    <col min="9992" max="10233" width="11.44140625" style="78"/>
    <col min="10234" max="10234" width="30.33203125" style="78" customWidth="1"/>
    <col min="10235" max="10235" width="10.44140625" style="78" customWidth="1"/>
    <col min="10236" max="10237" width="11.44140625" style="78"/>
    <col min="10238" max="10238" width="10.33203125" style="78" customWidth="1"/>
    <col min="10239" max="10239" width="9.5546875" style="78" customWidth="1"/>
    <col min="10240" max="10240" width="13.109375" style="78" customWidth="1"/>
    <col min="10241" max="10241" width="9.88671875" style="78" customWidth="1"/>
    <col min="10242" max="10242" width="9.109375" style="78" customWidth="1"/>
    <col min="10243" max="10244" width="13.88671875" style="78" customWidth="1"/>
    <col min="10245" max="10245" width="10.5546875" style="78" customWidth="1"/>
    <col min="10246" max="10246" width="15.109375" style="78" customWidth="1"/>
    <col min="10247" max="10247" width="20.44140625" style="78" customWidth="1"/>
    <col min="10248" max="10489" width="11.44140625" style="78"/>
    <col min="10490" max="10490" width="30.33203125" style="78" customWidth="1"/>
    <col min="10491" max="10491" width="10.44140625" style="78" customWidth="1"/>
    <col min="10492" max="10493" width="11.44140625" style="78"/>
    <col min="10494" max="10494" width="10.33203125" style="78" customWidth="1"/>
    <col min="10495" max="10495" width="9.5546875" style="78" customWidth="1"/>
    <col min="10496" max="10496" width="13.109375" style="78" customWidth="1"/>
    <col min="10497" max="10497" width="9.88671875" style="78" customWidth="1"/>
    <col min="10498" max="10498" width="9.109375" style="78" customWidth="1"/>
    <col min="10499" max="10500" width="13.88671875" style="78" customWidth="1"/>
    <col min="10501" max="10501" width="10.5546875" style="78" customWidth="1"/>
    <col min="10502" max="10502" width="15.109375" style="78" customWidth="1"/>
    <col min="10503" max="10503" width="20.44140625" style="78" customWidth="1"/>
    <col min="10504" max="10745" width="11.44140625" style="78"/>
    <col min="10746" max="10746" width="30.33203125" style="78" customWidth="1"/>
    <col min="10747" max="10747" width="10.44140625" style="78" customWidth="1"/>
    <col min="10748" max="10749" width="11.44140625" style="78"/>
    <col min="10750" max="10750" width="10.33203125" style="78" customWidth="1"/>
    <col min="10751" max="10751" width="9.5546875" style="78" customWidth="1"/>
    <col min="10752" max="10752" width="13.109375" style="78" customWidth="1"/>
    <col min="10753" max="10753" width="9.88671875" style="78" customWidth="1"/>
    <col min="10754" max="10754" width="9.109375" style="78" customWidth="1"/>
    <col min="10755" max="10756" width="13.88671875" style="78" customWidth="1"/>
    <col min="10757" max="10757" width="10.5546875" style="78" customWidth="1"/>
    <col min="10758" max="10758" width="15.109375" style="78" customWidth="1"/>
    <col min="10759" max="10759" width="20.44140625" style="78" customWidth="1"/>
    <col min="10760" max="11001" width="11.44140625" style="78"/>
    <col min="11002" max="11002" width="30.33203125" style="78" customWidth="1"/>
    <col min="11003" max="11003" width="10.44140625" style="78" customWidth="1"/>
    <col min="11004" max="11005" width="11.44140625" style="78"/>
    <col min="11006" max="11006" width="10.33203125" style="78" customWidth="1"/>
    <col min="11007" max="11007" width="9.5546875" style="78" customWidth="1"/>
    <col min="11008" max="11008" width="13.109375" style="78" customWidth="1"/>
    <col min="11009" max="11009" width="9.88671875" style="78" customWidth="1"/>
    <col min="11010" max="11010" width="9.109375" style="78" customWidth="1"/>
    <col min="11011" max="11012" width="13.88671875" style="78" customWidth="1"/>
    <col min="11013" max="11013" width="10.5546875" style="78" customWidth="1"/>
    <col min="11014" max="11014" width="15.109375" style="78" customWidth="1"/>
    <col min="11015" max="11015" width="20.44140625" style="78" customWidth="1"/>
    <col min="11016" max="11257" width="11.44140625" style="78"/>
    <col min="11258" max="11258" width="30.33203125" style="78" customWidth="1"/>
    <col min="11259" max="11259" width="10.44140625" style="78" customWidth="1"/>
    <col min="11260" max="11261" width="11.44140625" style="78"/>
    <col min="11262" max="11262" width="10.33203125" style="78" customWidth="1"/>
    <col min="11263" max="11263" width="9.5546875" style="78" customWidth="1"/>
    <col min="11264" max="11264" width="13.109375" style="78" customWidth="1"/>
    <col min="11265" max="11265" width="9.88671875" style="78" customWidth="1"/>
    <col min="11266" max="11266" width="9.109375" style="78" customWidth="1"/>
    <col min="11267" max="11268" width="13.88671875" style="78" customWidth="1"/>
    <col min="11269" max="11269" width="10.5546875" style="78" customWidth="1"/>
    <col min="11270" max="11270" width="15.109375" style="78" customWidth="1"/>
    <col min="11271" max="11271" width="20.44140625" style="78" customWidth="1"/>
    <col min="11272" max="11513" width="11.44140625" style="78"/>
    <col min="11514" max="11514" width="30.33203125" style="78" customWidth="1"/>
    <col min="11515" max="11515" width="10.44140625" style="78" customWidth="1"/>
    <col min="11516" max="11517" width="11.44140625" style="78"/>
    <col min="11518" max="11518" width="10.33203125" style="78" customWidth="1"/>
    <col min="11519" max="11519" width="9.5546875" style="78" customWidth="1"/>
    <col min="11520" max="11520" width="13.109375" style="78" customWidth="1"/>
    <col min="11521" max="11521" width="9.88671875" style="78" customWidth="1"/>
    <col min="11522" max="11522" width="9.109375" style="78" customWidth="1"/>
    <col min="11523" max="11524" width="13.88671875" style="78" customWidth="1"/>
    <col min="11525" max="11525" width="10.5546875" style="78" customWidth="1"/>
    <col min="11526" max="11526" width="15.109375" style="78" customWidth="1"/>
    <col min="11527" max="11527" width="20.44140625" style="78" customWidth="1"/>
    <col min="11528" max="11769" width="11.44140625" style="78"/>
    <col min="11770" max="11770" width="30.33203125" style="78" customWidth="1"/>
    <col min="11771" max="11771" width="10.44140625" style="78" customWidth="1"/>
    <col min="11772" max="11773" width="11.44140625" style="78"/>
    <col min="11774" max="11774" width="10.33203125" style="78" customWidth="1"/>
    <col min="11775" max="11775" width="9.5546875" style="78" customWidth="1"/>
    <col min="11776" max="11776" width="13.109375" style="78" customWidth="1"/>
    <col min="11777" max="11777" width="9.88671875" style="78" customWidth="1"/>
    <col min="11778" max="11778" width="9.109375" style="78" customWidth="1"/>
    <col min="11779" max="11780" width="13.88671875" style="78" customWidth="1"/>
    <col min="11781" max="11781" width="10.5546875" style="78" customWidth="1"/>
    <col min="11782" max="11782" width="15.109375" style="78" customWidth="1"/>
    <col min="11783" max="11783" width="20.44140625" style="78" customWidth="1"/>
    <col min="11784" max="12025" width="11.44140625" style="78"/>
    <col min="12026" max="12026" width="30.33203125" style="78" customWidth="1"/>
    <col min="12027" max="12027" width="10.44140625" style="78" customWidth="1"/>
    <col min="12028" max="12029" width="11.44140625" style="78"/>
    <col min="12030" max="12030" width="10.33203125" style="78" customWidth="1"/>
    <col min="12031" max="12031" width="9.5546875" style="78" customWidth="1"/>
    <col min="12032" max="12032" width="13.109375" style="78" customWidth="1"/>
    <col min="12033" max="12033" width="9.88671875" style="78" customWidth="1"/>
    <col min="12034" max="12034" width="9.109375" style="78" customWidth="1"/>
    <col min="12035" max="12036" width="13.88671875" style="78" customWidth="1"/>
    <col min="12037" max="12037" width="10.5546875" style="78" customWidth="1"/>
    <col min="12038" max="12038" width="15.109375" style="78" customWidth="1"/>
    <col min="12039" max="12039" width="20.44140625" style="78" customWidth="1"/>
    <col min="12040" max="12281" width="11.44140625" style="78"/>
    <col min="12282" max="12282" width="30.33203125" style="78" customWidth="1"/>
    <col min="12283" max="12283" width="10.44140625" style="78" customWidth="1"/>
    <col min="12284" max="12285" width="11.44140625" style="78"/>
    <col min="12286" max="12286" width="10.33203125" style="78" customWidth="1"/>
    <col min="12287" max="12287" width="9.5546875" style="78" customWidth="1"/>
    <col min="12288" max="12288" width="13.109375" style="78" customWidth="1"/>
    <col min="12289" max="12289" width="9.88671875" style="78" customWidth="1"/>
    <col min="12290" max="12290" width="9.109375" style="78" customWidth="1"/>
    <col min="12291" max="12292" width="13.88671875" style="78" customWidth="1"/>
    <col min="12293" max="12293" width="10.5546875" style="78" customWidth="1"/>
    <col min="12294" max="12294" width="15.109375" style="78" customWidth="1"/>
    <col min="12295" max="12295" width="20.44140625" style="78" customWidth="1"/>
    <col min="12296" max="12537" width="11.44140625" style="78"/>
    <col min="12538" max="12538" width="30.33203125" style="78" customWidth="1"/>
    <col min="12539" max="12539" width="10.44140625" style="78" customWidth="1"/>
    <col min="12540" max="12541" width="11.44140625" style="78"/>
    <col min="12542" max="12542" width="10.33203125" style="78" customWidth="1"/>
    <col min="12543" max="12543" width="9.5546875" style="78" customWidth="1"/>
    <col min="12544" max="12544" width="13.109375" style="78" customWidth="1"/>
    <col min="12545" max="12545" width="9.88671875" style="78" customWidth="1"/>
    <col min="12546" max="12546" width="9.109375" style="78" customWidth="1"/>
    <col min="12547" max="12548" width="13.88671875" style="78" customWidth="1"/>
    <col min="12549" max="12549" width="10.5546875" style="78" customWidth="1"/>
    <col min="12550" max="12550" width="15.109375" style="78" customWidth="1"/>
    <col min="12551" max="12551" width="20.44140625" style="78" customWidth="1"/>
    <col min="12552" max="12793" width="11.44140625" style="78"/>
    <col min="12794" max="12794" width="30.33203125" style="78" customWidth="1"/>
    <col min="12795" max="12795" width="10.44140625" style="78" customWidth="1"/>
    <col min="12796" max="12797" width="11.44140625" style="78"/>
    <col min="12798" max="12798" width="10.33203125" style="78" customWidth="1"/>
    <col min="12799" max="12799" width="9.5546875" style="78" customWidth="1"/>
    <col min="12800" max="12800" width="13.109375" style="78" customWidth="1"/>
    <col min="12801" max="12801" width="9.88671875" style="78" customWidth="1"/>
    <col min="12802" max="12802" width="9.109375" style="78" customWidth="1"/>
    <col min="12803" max="12804" width="13.88671875" style="78" customWidth="1"/>
    <col min="12805" max="12805" width="10.5546875" style="78" customWidth="1"/>
    <col min="12806" max="12806" width="15.109375" style="78" customWidth="1"/>
    <col min="12807" max="12807" width="20.44140625" style="78" customWidth="1"/>
    <col min="12808" max="13049" width="11.44140625" style="78"/>
    <col min="13050" max="13050" width="30.33203125" style="78" customWidth="1"/>
    <col min="13051" max="13051" width="10.44140625" style="78" customWidth="1"/>
    <col min="13052" max="13053" width="11.44140625" style="78"/>
    <col min="13054" max="13054" width="10.33203125" style="78" customWidth="1"/>
    <col min="13055" max="13055" width="9.5546875" style="78" customWidth="1"/>
    <col min="13056" max="13056" width="13.109375" style="78" customWidth="1"/>
    <col min="13057" max="13057" width="9.88671875" style="78" customWidth="1"/>
    <col min="13058" max="13058" width="9.109375" style="78" customWidth="1"/>
    <col min="13059" max="13060" width="13.88671875" style="78" customWidth="1"/>
    <col min="13061" max="13061" width="10.5546875" style="78" customWidth="1"/>
    <col min="13062" max="13062" width="15.109375" style="78" customWidth="1"/>
    <col min="13063" max="13063" width="20.44140625" style="78" customWidth="1"/>
    <col min="13064" max="13305" width="11.44140625" style="78"/>
    <col min="13306" max="13306" width="30.33203125" style="78" customWidth="1"/>
    <col min="13307" max="13307" width="10.44140625" style="78" customWidth="1"/>
    <col min="13308" max="13309" width="11.44140625" style="78"/>
    <col min="13310" max="13310" width="10.33203125" style="78" customWidth="1"/>
    <col min="13311" max="13311" width="9.5546875" style="78" customWidth="1"/>
    <col min="13312" max="13312" width="13.109375" style="78" customWidth="1"/>
    <col min="13313" max="13313" width="9.88671875" style="78" customWidth="1"/>
    <col min="13314" max="13314" width="9.109375" style="78" customWidth="1"/>
    <col min="13315" max="13316" width="13.88671875" style="78" customWidth="1"/>
    <col min="13317" max="13317" width="10.5546875" style="78" customWidth="1"/>
    <col min="13318" max="13318" width="15.109375" style="78" customWidth="1"/>
    <col min="13319" max="13319" width="20.44140625" style="78" customWidth="1"/>
    <col min="13320" max="13561" width="11.44140625" style="78"/>
    <col min="13562" max="13562" width="30.33203125" style="78" customWidth="1"/>
    <col min="13563" max="13563" width="10.44140625" style="78" customWidth="1"/>
    <col min="13564" max="13565" width="11.44140625" style="78"/>
    <col min="13566" max="13566" width="10.33203125" style="78" customWidth="1"/>
    <col min="13567" max="13567" width="9.5546875" style="78" customWidth="1"/>
    <col min="13568" max="13568" width="13.109375" style="78" customWidth="1"/>
    <col min="13569" max="13569" width="9.88671875" style="78" customWidth="1"/>
    <col min="13570" max="13570" width="9.109375" style="78" customWidth="1"/>
    <col min="13571" max="13572" width="13.88671875" style="78" customWidth="1"/>
    <col min="13573" max="13573" width="10.5546875" style="78" customWidth="1"/>
    <col min="13574" max="13574" width="15.109375" style="78" customWidth="1"/>
    <col min="13575" max="13575" width="20.44140625" style="78" customWidth="1"/>
    <col min="13576" max="13817" width="11.44140625" style="78"/>
    <col min="13818" max="13818" width="30.33203125" style="78" customWidth="1"/>
    <col min="13819" max="13819" width="10.44140625" style="78" customWidth="1"/>
    <col min="13820" max="13821" width="11.44140625" style="78"/>
    <col min="13822" max="13822" width="10.33203125" style="78" customWidth="1"/>
    <col min="13823" max="13823" width="9.5546875" style="78" customWidth="1"/>
    <col min="13824" max="13824" width="13.109375" style="78" customWidth="1"/>
    <col min="13825" max="13825" width="9.88671875" style="78" customWidth="1"/>
    <col min="13826" max="13826" width="9.109375" style="78" customWidth="1"/>
    <col min="13827" max="13828" width="13.88671875" style="78" customWidth="1"/>
    <col min="13829" max="13829" width="10.5546875" style="78" customWidth="1"/>
    <col min="13830" max="13830" width="15.109375" style="78" customWidth="1"/>
    <col min="13831" max="13831" width="20.44140625" style="78" customWidth="1"/>
    <col min="13832" max="14073" width="11.44140625" style="78"/>
    <col min="14074" max="14074" width="30.33203125" style="78" customWidth="1"/>
    <col min="14075" max="14075" width="10.44140625" style="78" customWidth="1"/>
    <col min="14076" max="14077" width="11.44140625" style="78"/>
    <col min="14078" max="14078" width="10.33203125" style="78" customWidth="1"/>
    <col min="14079" max="14079" width="9.5546875" style="78" customWidth="1"/>
    <col min="14080" max="14080" width="13.109375" style="78" customWidth="1"/>
    <col min="14081" max="14081" width="9.88671875" style="78" customWidth="1"/>
    <col min="14082" max="14082" width="9.109375" style="78" customWidth="1"/>
    <col min="14083" max="14084" width="13.88671875" style="78" customWidth="1"/>
    <col min="14085" max="14085" width="10.5546875" style="78" customWidth="1"/>
    <col min="14086" max="14086" width="15.109375" style="78" customWidth="1"/>
    <col min="14087" max="14087" width="20.44140625" style="78" customWidth="1"/>
    <col min="14088" max="14329" width="11.44140625" style="78"/>
    <col min="14330" max="14330" width="30.33203125" style="78" customWidth="1"/>
    <col min="14331" max="14331" width="10.44140625" style="78" customWidth="1"/>
    <col min="14332" max="14333" width="11.44140625" style="78"/>
    <col min="14334" max="14334" width="10.33203125" style="78" customWidth="1"/>
    <col min="14335" max="14335" width="9.5546875" style="78" customWidth="1"/>
    <col min="14336" max="14336" width="13.109375" style="78" customWidth="1"/>
    <col min="14337" max="14337" width="9.88671875" style="78" customWidth="1"/>
    <col min="14338" max="14338" width="9.109375" style="78" customWidth="1"/>
    <col min="14339" max="14340" width="13.88671875" style="78" customWidth="1"/>
    <col min="14341" max="14341" width="10.5546875" style="78" customWidth="1"/>
    <col min="14342" max="14342" width="15.109375" style="78" customWidth="1"/>
    <col min="14343" max="14343" width="20.44140625" style="78" customWidth="1"/>
    <col min="14344" max="14585" width="11.44140625" style="78"/>
    <col min="14586" max="14586" width="30.33203125" style="78" customWidth="1"/>
    <col min="14587" max="14587" width="10.44140625" style="78" customWidth="1"/>
    <col min="14588" max="14589" width="11.44140625" style="78"/>
    <col min="14590" max="14590" width="10.33203125" style="78" customWidth="1"/>
    <col min="14591" max="14591" width="9.5546875" style="78" customWidth="1"/>
    <col min="14592" max="14592" width="13.109375" style="78" customWidth="1"/>
    <col min="14593" max="14593" width="9.88671875" style="78" customWidth="1"/>
    <col min="14594" max="14594" width="9.109375" style="78" customWidth="1"/>
    <col min="14595" max="14596" width="13.88671875" style="78" customWidth="1"/>
    <col min="14597" max="14597" width="10.5546875" style="78" customWidth="1"/>
    <col min="14598" max="14598" width="15.109375" style="78" customWidth="1"/>
    <col min="14599" max="14599" width="20.44140625" style="78" customWidth="1"/>
    <col min="14600" max="14841" width="11.44140625" style="78"/>
    <col min="14842" max="14842" width="30.33203125" style="78" customWidth="1"/>
    <col min="14843" max="14843" width="10.44140625" style="78" customWidth="1"/>
    <col min="14844" max="14845" width="11.44140625" style="78"/>
    <col min="14846" max="14846" width="10.33203125" style="78" customWidth="1"/>
    <col min="14847" max="14847" width="9.5546875" style="78" customWidth="1"/>
    <col min="14848" max="14848" width="13.109375" style="78" customWidth="1"/>
    <col min="14849" max="14849" width="9.88671875" style="78" customWidth="1"/>
    <col min="14850" max="14850" width="9.109375" style="78" customWidth="1"/>
    <col min="14851" max="14852" width="13.88671875" style="78" customWidth="1"/>
    <col min="14853" max="14853" width="10.5546875" style="78" customWidth="1"/>
    <col min="14854" max="14854" width="15.109375" style="78" customWidth="1"/>
    <col min="14855" max="14855" width="20.44140625" style="78" customWidth="1"/>
    <col min="14856" max="15097" width="11.44140625" style="78"/>
    <col min="15098" max="15098" width="30.33203125" style="78" customWidth="1"/>
    <col min="15099" max="15099" width="10.44140625" style="78" customWidth="1"/>
    <col min="15100" max="15101" width="11.44140625" style="78"/>
    <col min="15102" max="15102" width="10.33203125" style="78" customWidth="1"/>
    <col min="15103" max="15103" width="9.5546875" style="78" customWidth="1"/>
    <col min="15104" max="15104" width="13.109375" style="78" customWidth="1"/>
    <col min="15105" max="15105" width="9.88671875" style="78" customWidth="1"/>
    <col min="15106" max="15106" width="9.109375" style="78" customWidth="1"/>
    <col min="15107" max="15108" width="13.88671875" style="78" customWidth="1"/>
    <col min="15109" max="15109" width="10.5546875" style="78" customWidth="1"/>
    <col min="15110" max="15110" width="15.109375" style="78" customWidth="1"/>
    <col min="15111" max="15111" width="20.44140625" style="78" customWidth="1"/>
    <col min="15112" max="15353" width="11.44140625" style="78"/>
    <col min="15354" max="15354" width="30.33203125" style="78" customWidth="1"/>
    <col min="15355" max="15355" width="10.44140625" style="78" customWidth="1"/>
    <col min="15356" max="15357" width="11.44140625" style="78"/>
    <col min="15358" max="15358" width="10.33203125" style="78" customWidth="1"/>
    <col min="15359" max="15359" width="9.5546875" style="78" customWidth="1"/>
    <col min="15360" max="15360" width="13.109375" style="78" customWidth="1"/>
    <col min="15361" max="15361" width="9.88671875" style="78" customWidth="1"/>
    <col min="15362" max="15362" width="9.109375" style="78" customWidth="1"/>
    <col min="15363" max="15364" width="13.88671875" style="78" customWidth="1"/>
    <col min="15365" max="15365" width="10.5546875" style="78" customWidth="1"/>
    <col min="15366" max="15366" width="15.109375" style="78" customWidth="1"/>
    <col min="15367" max="15367" width="20.44140625" style="78" customWidth="1"/>
    <col min="15368" max="15609" width="11.44140625" style="78"/>
    <col min="15610" max="15610" width="30.33203125" style="78" customWidth="1"/>
    <col min="15611" max="15611" width="10.44140625" style="78" customWidth="1"/>
    <col min="15612" max="15613" width="11.44140625" style="78"/>
    <col min="15614" max="15614" width="10.33203125" style="78" customWidth="1"/>
    <col min="15615" max="15615" width="9.5546875" style="78" customWidth="1"/>
    <col min="15616" max="15616" width="13.109375" style="78" customWidth="1"/>
    <col min="15617" max="15617" width="9.88671875" style="78" customWidth="1"/>
    <col min="15618" max="15618" width="9.109375" style="78" customWidth="1"/>
    <col min="15619" max="15620" width="13.88671875" style="78" customWidth="1"/>
    <col min="15621" max="15621" width="10.5546875" style="78" customWidth="1"/>
    <col min="15622" max="15622" width="15.109375" style="78" customWidth="1"/>
    <col min="15623" max="15623" width="20.44140625" style="78" customWidth="1"/>
    <col min="15624" max="15865" width="11.44140625" style="78"/>
    <col min="15866" max="15866" width="30.33203125" style="78" customWidth="1"/>
    <col min="15867" max="15867" width="10.44140625" style="78" customWidth="1"/>
    <col min="15868" max="15869" width="11.44140625" style="78"/>
    <col min="15870" max="15870" width="10.33203125" style="78" customWidth="1"/>
    <col min="15871" max="15871" width="9.5546875" style="78" customWidth="1"/>
    <col min="15872" max="15872" width="13.109375" style="78" customWidth="1"/>
    <col min="15873" max="15873" width="9.88671875" style="78" customWidth="1"/>
    <col min="15874" max="15874" width="9.109375" style="78" customWidth="1"/>
    <col min="15875" max="15876" width="13.88671875" style="78" customWidth="1"/>
    <col min="15877" max="15877" width="10.5546875" style="78" customWidth="1"/>
    <col min="15878" max="15878" width="15.109375" style="78" customWidth="1"/>
    <col min="15879" max="15879" width="20.44140625" style="78" customWidth="1"/>
    <col min="15880" max="16121" width="11.44140625" style="78"/>
    <col min="16122" max="16122" width="30.33203125" style="78" customWidth="1"/>
    <col min="16123" max="16123" width="10.44140625" style="78" customWidth="1"/>
    <col min="16124" max="16125" width="11.44140625" style="78"/>
    <col min="16126" max="16126" width="10.33203125" style="78" customWidth="1"/>
    <col min="16127" max="16127" width="9.5546875" style="78" customWidth="1"/>
    <col min="16128" max="16128" width="13.109375" style="78" customWidth="1"/>
    <col min="16129" max="16129" width="9.88671875" style="78" customWidth="1"/>
    <col min="16130" max="16130" width="9.109375" style="78" customWidth="1"/>
    <col min="16131" max="16132" width="13.88671875" style="78" customWidth="1"/>
    <col min="16133" max="16133" width="10.5546875" style="78" customWidth="1"/>
    <col min="16134" max="16134" width="15.109375" style="78" customWidth="1"/>
    <col min="16135" max="16135" width="20.44140625" style="78" customWidth="1"/>
    <col min="16136" max="16384" width="11.44140625" style="78"/>
  </cols>
  <sheetData>
    <row r="1" spans="1:14" ht="15" thickBot="1" x14ac:dyDescent="0.35"/>
    <row r="2" spans="1:14" ht="26.4" customHeight="1" thickBot="1" x14ac:dyDescent="0.35">
      <c r="B2" s="161" t="s">
        <v>46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4" x14ac:dyDescent="0.3">
      <c r="A3" s="81"/>
      <c r="B3" s="82"/>
    </row>
    <row r="4" spans="1:14" ht="15" thickBot="1" x14ac:dyDescent="0.35">
      <c r="A4" s="81"/>
      <c r="G4" s="78"/>
      <c r="H4" s="78"/>
      <c r="I4" s="78"/>
      <c r="J4" s="78"/>
      <c r="K4" s="78"/>
    </row>
    <row r="5" spans="1:14" ht="58.2" thickBot="1" x14ac:dyDescent="0.35">
      <c r="A5" s="94" t="s">
        <v>12</v>
      </c>
      <c r="B5" s="94" t="s">
        <v>9</v>
      </c>
      <c r="C5" s="95" t="s">
        <v>31</v>
      </c>
      <c r="D5" s="94" t="s">
        <v>0</v>
      </c>
      <c r="E5" s="94" t="s">
        <v>1</v>
      </c>
      <c r="F5" s="96" t="s">
        <v>32</v>
      </c>
      <c r="G5" s="97" t="s">
        <v>5</v>
      </c>
      <c r="H5" s="97" t="s">
        <v>34</v>
      </c>
      <c r="I5" s="98" t="s">
        <v>33</v>
      </c>
      <c r="J5" s="97" t="s">
        <v>5</v>
      </c>
      <c r="K5" s="98" t="s">
        <v>35</v>
      </c>
      <c r="M5" s="153" t="s">
        <v>52</v>
      </c>
      <c r="N5" s="154"/>
    </row>
    <row r="6" spans="1:14" s="87" customFormat="1" x14ac:dyDescent="0.3">
      <c r="A6" s="83"/>
      <c r="B6" s="83"/>
      <c r="C6" s="143">
        <f>SUM(H6+K6)</f>
        <v>0</v>
      </c>
      <c r="D6" s="83"/>
      <c r="E6" s="83"/>
      <c r="F6" s="127"/>
      <c r="G6" s="85">
        <v>7000</v>
      </c>
      <c r="H6" s="84">
        <f>F6*G6</f>
        <v>0</v>
      </c>
      <c r="I6" s="127"/>
      <c r="J6" s="84">
        <v>9000</v>
      </c>
      <c r="K6" s="86">
        <f>SUM(I6*J6)</f>
        <v>0</v>
      </c>
    </row>
    <row r="7" spans="1:14" s="87" customFormat="1" x14ac:dyDescent="0.3">
      <c r="A7" s="83"/>
      <c r="B7" s="83"/>
      <c r="C7" s="143">
        <f t="shared" ref="C7:C69" si="0">SUM(H7+K7)</f>
        <v>0</v>
      </c>
      <c r="D7" s="83"/>
      <c r="E7" s="83"/>
      <c r="F7" s="83"/>
      <c r="G7" s="85">
        <v>7000</v>
      </c>
      <c r="H7" s="84">
        <f>F7*G7</f>
        <v>0</v>
      </c>
      <c r="I7" s="83"/>
      <c r="J7" s="84">
        <v>9000</v>
      </c>
      <c r="K7" s="86">
        <f t="shared" ref="K7:K69" si="1">SUM(I7*J7)</f>
        <v>0</v>
      </c>
    </row>
    <row r="8" spans="1:14" s="87" customFormat="1" x14ac:dyDescent="0.3">
      <c r="A8" s="83"/>
      <c r="B8" s="83"/>
      <c r="C8" s="143">
        <f t="shared" si="0"/>
        <v>0</v>
      </c>
      <c r="D8" s="83"/>
      <c r="E8" s="83"/>
      <c r="F8" s="83"/>
      <c r="G8" s="85">
        <v>7000</v>
      </c>
      <c r="H8" s="84">
        <f>F8*G8</f>
        <v>0</v>
      </c>
      <c r="I8" s="83"/>
      <c r="J8" s="84">
        <v>9000</v>
      </c>
      <c r="K8" s="86">
        <f t="shared" si="1"/>
        <v>0</v>
      </c>
    </row>
    <row r="9" spans="1:14" s="87" customFormat="1" x14ac:dyDescent="0.3">
      <c r="A9" s="83"/>
      <c r="B9" s="83"/>
      <c r="C9" s="143">
        <f t="shared" si="0"/>
        <v>0</v>
      </c>
      <c r="D9" s="83"/>
      <c r="E9" s="83"/>
      <c r="F9" s="83"/>
      <c r="G9" s="85">
        <v>7000</v>
      </c>
      <c r="H9" s="84">
        <f>F9*G9</f>
        <v>0</v>
      </c>
      <c r="I9" s="83"/>
      <c r="J9" s="84">
        <v>9000</v>
      </c>
      <c r="K9" s="86">
        <f t="shared" si="1"/>
        <v>0</v>
      </c>
    </row>
    <row r="10" spans="1:14" s="87" customFormat="1" x14ac:dyDescent="0.3">
      <c r="A10" s="83"/>
      <c r="B10" s="83"/>
      <c r="C10" s="143">
        <f t="shared" si="0"/>
        <v>0</v>
      </c>
      <c r="D10" s="83"/>
      <c r="E10" s="83"/>
      <c r="F10" s="83"/>
      <c r="G10" s="85">
        <v>7000</v>
      </c>
      <c r="H10" s="84">
        <f>F10*G10</f>
        <v>0</v>
      </c>
      <c r="I10" s="83"/>
      <c r="J10" s="84">
        <v>9000</v>
      </c>
      <c r="K10" s="86">
        <f t="shared" si="1"/>
        <v>0</v>
      </c>
    </row>
    <row r="11" spans="1:14" s="87" customFormat="1" x14ac:dyDescent="0.3">
      <c r="A11" s="83"/>
      <c r="B11" s="83"/>
      <c r="C11" s="143">
        <f t="shared" si="0"/>
        <v>0</v>
      </c>
      <c r="D11" s="83"/>
      <c r="E11" s="83"/>
      <c r="F11" s="83"/>
      <c r="G11" s="85">
        <v>7000</v>
      </c>
      <c r="H11" s="85">
        <f t="shared" ref="H11:H69" si="2">SUM(F11*G11)</f>
        <v>0</v>
      </c>
      <c r="I11" s="83"/>
      <c r="J11" s="84">
        <v>9000</v>
      </c>
      <c r="K11" s="86">
        <f t="shared" si="1"/>
        <v>0</v>
      </c>
    </row>
    <row r="12" spans="1:14" s="87" customFormat="1" x14ac:dyDescent="0.3">
      <c r="A12" s="83"/>
      <c r="B12" s="83"/>
      <c r="C12" s="143">
        <f t="shared" si="0"/>
        <v>0</v>
      </c>
      <c r="D12" s="83"/>
      <c r="E12" s="83"/>
      <c r="F12" s="83"/>
      <c r="G12" s="85">
        <v>7000</v>
      </c>
      <c r="H12" s="85">
        <f t="shared" si="2"/>
        <v>0</v>
      </c>
      <c r="I12" s="83"/>
      <c r="J12" s="84">
        <v>9000</v>
      </c>
      <c r="K12" s="86">
        <f t="shared" si="1"/>
        <v>0</v>
      </c>
    </row>
    <row r="13" spans="1:14" s="87" customFormat="1" x14ac:dyDescent="0.3">
      <c r="A13" s="83"/>
      <c r="B13" s="83"/>
      <c r="C13" s="143">
        <f t="shared" si="0"/>
        <v>0</v>
      </c>
      <c r="D13" s="83"/>
      <c r="E13" s="83"/>
      <c r="F13" s="83"/>
      <c r="G13" s="85">
        <v>7000</v>
      </c>
      <c r="H13" s="85">
        <f t="shared" si="2"/>
        <v>0</v>
      </c>
      <c r="I13" s="83"/>
      <c r="J13" s="84">
        <v>9000</v>
      </c>
      <c r="K13" s="86">
        <f t="shared" si="1"/>
        <v>0</v>
      </c>
    </row>
    <row r="14" spans="1:14" s="87" customFormat="1" x14ac:dyDescent="0.3">
      <c r="A14" s="83"/>
      <c r="B14" s="83"/>
      <c r="C14" s="143">
        <f t="shared" si="0"/>
        <v>0</v>
      </c>
      <c r="D14" s="83"/>
      <c r="E14" s="83"/>
      <c r="F14" s="83"/>
      <c r="G14" s="85">
        <v>7000</v>
      </c>
      <c r="H14" s="85">
        <f t="shared" si="2"/>
        <v>0</v>
      </c>
      <c r="I14" s="83"/>
      <c r="J14" s="84">
        <v>9000</v>
      </c>
      <c r="K14" s="86">
        <f t="shared" si="1"/>
        <v>0</v>
      </c>
    </row>
    <row r="15" spans="1:14" s="87" customFormat="1" x14ac:dyDescent="0.3">
      <c r="A15" s="83"/>
      <c r="B15" s="83"/>
      <c r="C15" s="143">
        <f t="shared" si="0"/>
        <v>0</v>
      </c>
      <c r="D15" s="83"/>
      <c r="E15" s="83"/>
      <c r="F15" s="83"/>
      <c r="G15" s="85">
        <v>7000</v>
      </c>
      <c r="H15" s="85">
        <f t="shared" si="2"/>
        <v>0</v>
      </c>
      <c r="I15" s="83"/>
      <c r="J15" s="84">
        <v>9000</v>
      </c>
      <c r="K15" s="86">
        <f t="shared" si="1"/>
        <v>0</v>
      </c>
    </row>
    <row r="16" spans="1:14" s="87" customFormat="1" x14ac:dyDescent="0.3">
      <c r="A16" s="83"/>
      <c r="B16" s="83"/>
      <c r="C16" s="143">
        <f t="shared" si="0"/>
        <v>0</v>
      </c>
      <c r="D16" s="83"/>
      <c r="E16" s="83"/>
      <c r="F16" s="83"/>
      <c r="G16" s="85">
        <v>7000</v>
      </c>
      <c r="H16" s="85">
        <f t="shared" si="2"/>
        <v>0</v>
      </c>
      <c r="I16" s="83"/>
      <c r="J16" s="84">
        <v>9000</v>
      </c>
      <c r="K16" s="86">
        <f t="shared" si="1"/>
        <v>0</v>
      </c>
    </row>
    <row r="17" spans="1:11" s="87" customFormat="1" x14ac:dyDescent="0.3">
      <c r="A17" s="83"/>
      <c r="B17" s="83"/>
      <c r="C17" s="143">
        <f t="shared" si="0"/>
        <v>0</v>
      </c>
      <c r="D17" s="83"/>
      <c r="E17" s="83"/>
      <c r="F17" s="83"/>
      <c r="G17" s="85">
        <v>7000</v>
      </c>
      <c r="H17" s="85">
        <f t="shared" si="2"/>
        <v>0</v>
      </c>
      <c r="I17" s="83"/>
      <c r="J17" s="84">
        <v>9000</v>
      </c>
      <c r="K17" s="86">
        <f t="shared" si="1"/>
        <v>0</v>
      </c>
    </row>
    <row r="18" spans="1:11" s="87" customFormat="1" x14ac:dyDescent="0.3">
      <c r="A18" s="83"/>
      <c r="B18" s="83"/>
      <c r="C18" s="143">
        <f t="shared" si="0"/>
        <v>0</v>
      </c>
      <c r="D18" s="83"/>
      <c r="E18" s="83"/>
      <c r="F18" s="83"/>
      <c r="G18" s="85">
        <v>7000</v>
      </c>
      <c r="H18" s="85">
        <f t="shared" si="2"/>
        <v>0</v>
      </c>
      <c r="I18" s="83"/>
      <c r="J18" s="84">
        <v>9000</v>
      </c>
      <c r="K18" s="86">
        <f t="shared" si="1"/>
        <v>0</v>
      </c>
    </row>
    <row r="19" spans="1:11" s="87" customFormat="1" x14ac:dyDescent="0.3">
      <c r="A19" s="83"/>
      <c r="B19" s="83"/>
      <c r="C19" s="143">
        <f t="shared" si="0"/>
        <v>0</v>
      </c>
      <c r="D19" s="83"/>
      <c r="E19" s="83"/>
      <c r="F19" s="83"/>
      <c r="G19" s="85">
        <v>7000</v>
      </c>
      <c r="H19" s="85">
        <f t="shared" si="2"/>
        <v>0</v>
      </c>
      <c r="I19" s="83"/>
      <c r="J19" s="84">
        <v>9000</v>
      </c>
      <c r="K19" s="86">
        <f t="shared" si="1"/>
        <v>0</v>
      </c>
    </row>
    <row r="20" spans="1:11" s="87" customFormat="1" x14ac:dyDescent="0.3">
      <c r="A20" s="83"/>
      <c r="B20" s="83"/>
      <c r="C20" s="143">
        <f t="shared" si="0"/>
        <v>0</v>
      </c>
      <c r="D20" s="83"/>
      <c r="E20" s="83"/>
      <c r="F20" s="83"/>
      <c r="G20" s="85">
        <v>7000</v>
      </c>
      <c r="H20" s="85">
        <f t="shared" si="2"/>
        <v>0</v>
      </c>
      <c r="I20" s="83"/>
      <c r="J20" s="84">
        <v>9000</v>
      </c>
      <c r="K20" s="86">
        <f t="shared" si="1"/>
        <v>0</v>
      </c>
    </row>
    <row r="21" spans="1:11" s="87" customFormat="1" x14ac:dyDescent="0.3">
      <c r="A21" s="83"/>
      <c r="B21" s="83"/>
      <c r="C21" s="143">
        <f t="shared" si="0"/>
        <v>0</v>
      </c>
      <c r="D21" s="83"/>
      <c r="E21" s="83"/>
      <c r="F21" s="83"/>
      <c r="G21" s="85">
        <v>7000</v>
      </c>
      <c r="H21" s="85">
        <f t="shared" si="2"/>
        <v>0</v>
      </c>
      <c r="I21" s="83"/>
      <c r="J21" s="84">
        <v>9000</v>
      </c>
      <c r="K21" s="86">
        <f t="shared" si="1"/>
        <v>0</v>
      </c>
    </row>
    <row r="22" spans="1:11" s="87" customFormat="1" x14ac:dyDescent="0.3">
      <c r="A22" s="83"/>
      <c r="B22" s="83"/>
      <c r="C22" s="143">
        <f t="shared" si="0"/>
        <v>0</v>
      </c>
      <c r="D22" s="83"/>
      <c r="E22" s="83"/>
      <c r="F22" s="83"/>
      <c r="G22" s="85">
        <v>7000</v>
      </c>
      <c r="H22" s="85">
        <f t="shared" si="2"/>
        <v>0</v>
      </c>
      <c r="I22" s="83"/>
      <c r="J22" s="84">
        <v>9000</v>
      </c>
      <c r="K22" s="86">
        <f t="shared" si="1"/>
        <v>0</v>
      </c>
    </row>
    <row r="23" spans="1:11" s="87" customFormat="1" x14ac:dyDescent="0.3">
      <c r="A23" s="83"/>
      <c r="B23" s="83"/>
      <c r="C23" s="143">
        <f t="shared" si="0"/>
        <v>0</v>
      </c>
      <c r="D23" s="83"/>
      <c r="E23" s="83"/>
      <c r="F23" s="83"/>
      <c r="G23" s="85">
        <v>7000</v>
      </c>
      <c r="H23" s="85">
        <f t="shared" si="2"/>
        <v>0</v>
      </c>
      <c r="I23" s="83"/>
      <c r="J23" s="84">
        <v>9000</v>
      </c>
      <c r="K23" s="86">
        <f t="shared" si="1"/>
        <v>0</v>
      </c>
    </row>
    <row r="24" spans="1:11" s="87" customFormat="1" x14ac:dyDescent="0.3">
      <c r="A24" s="83"/>
      <c r="B24" s="83"/>
      <c r="C24" s="143">
        <f t="shared" si="0"/>
        <v>0</v>
      </c>
      <c r="D24" s="83"/>
      <c r="E24" s="83"/>
      <c r="F24" s="83"/>
      <c r="G24" s="85">
        <v>7000</v>
      </c>
      <c r="H24" s="85">
        <f t="shared" si="2"/>
        <v>0</v>
      </c>
      <c r="I24" s="83"/>
      <c r="J24" s="84">
        <v>9000</v>
      </c>
      <c r="K24" s="86">
        <f t="shared" si="1"/>
        <v>0</v>
      </c>
    </row>
    <row r="25" spans="1:11" s="87" customFormat="1" x14ac:dyDescent="0.3">
      <c r="A25" s="83"/>
      <c r="B25" s="83"/>
      <c r="C25" s="143">
        <f t="shared" si="0"/>
        <v>0</v>
      </c>
      <c r="D25" s="83"/>
      <c r="E25" s="83"/>
      <c r="F25" s="83"/>
      <c r="G25" s="85">
        <v>7000</v>
      </c>
      <c r="H25" s="85">
        <f t="shared" si="2"/>
        <v>0</v>
      </c>
      <c r="I25" s="83"/>
      <c r="J25" s="84">
        <v>9000</v>
      </c>
      <c r="K25" s="86">
        <f t="shared" si="1"/>
        <v>0</v>
      </c>
    </row>
    <row r="26" spans="1:11" s="87" customFormat="1" x14ac:dyDescent="0.3">
      <c r="A26" s="83"/>
      <c r="B26" s="83"/>
      <c r="C26" s="143">
        <f t="shared" si="0"/>
        <v>0</v>
      </c>
      <c r="D26" s="83"/>
      <c r="E26" s="83"/>
      <c r="F26" s="83"/>
      <c r="G26" s="85">
        <v>7000</v>
      </c>
      <c r="H26" s="85">
        <f t="shared" si="2"/>
        <v>0</v>
      </c>
      <c r="I26" s="83"/>
      <c r="J26" s="84">
        <v>9000</v>
      </c>
      <c r="K26" s="86">
        <f t="shared" si="1"/>
        <v>0</v>
      </c>
    </row>
    <row r="27" spans="1:11" s="87" customFormat="1" x14ac:dyDescent="0.3">
      <c r="A27" s="83"/>
      <c r="B27" s="83"/>
      <c r="C27" s="143">
        <f t="shared" si="0"/>
        <v>0</v>
      </c>
      <c r="D27" s="83"/>
      <c r="E27" s="83"/>
      <c r="F27" s="83"/>
      <c r="G27" s="85">
        <v>7000</v>
      </c>
      <c r="H27" s="85">
        <f t="shared" si="2"/>
        <v>0</v>
      </c>
      <c r="I27" s="83"/>
      <c r="J27" s="84">
        <v>9000</v>
      </c>
      <c r="K27" s="86">
        <f t="shared" si="1"/>
        <v>0</v>
      </c>
    </row>
    <row r="28" spans="1:11" s="87" customFormat="1" x14ac:dyDescent="0.3">
      <c r="A28" s="83"/>
      <c r="B28" s="83"/>
      <c r="C28" s="143">
        <f t="shared" si="0"/>
        <v>0</v>
      </c>
      <c r="D28" s="83"/>
      <c r="E28" s="83"/>
      <c r="F28" s="83"/>
      <c r="G28" s="85">
        <v>7000</v>
      </c>
      <c r="H28" s="85">
        <f t="shared" si="2"/>
        <v>0</v>
      </c>
      <c r="I28" s="83"/>
      <c r="J28" s="84">
        <v>9000</v>
      </c>
      <c r="K28" s="86">
        <f t="shared" si="1"/>
        <v>0</v>
      </c>
    </row>
    <row r="29" spans="1:11" s="87" customFormat="1" x14ac:dyDescent="0.3">
      <c r="A29" s="83"/>
      <c r="B29" s="83"/>
      <c r="C29" s="143">
        <f t="shared" si="0"/>
        <v>0</v>
      </c>
      <c r="D29" s="83"/>
      <c r="E29" s="83"/>
      <c r="F29" s="83"/>
      <c r="G29" s="85">
        <v>7000</v>
      </c>
      <c r="H29" s="85">
        <f t="shared" si="2"/>
        <v>0</v>
      </c>
      <c r="I29" s="83"/>
      <c r="J29" s="84">
        <v>9000</v>
      </c>
      <c r="K29" s="86">
        <f t="shared" si="1"/>
        <v>0</v>
      </c>
    </row>
    <row r="30" spans="1:11" s="87" customFormat="1" x14ac:dyDescent="0.3">
      <c r="A30" s="83"/>
      <c r="B30" s="83"/>
      <c r="C30" s="143">
        <f t="shared" si="0"/>
        <v>0</v>
      </c>
      <c r="D30" s="83"/>
      <c r="E30" s="83"/>
      <c r="F30" s="83"/>
      <c r="G30" s="85">
        <v>7000</v>
      </c>
      <c r="H30" s="85">
        <f t="shared" si="2"/>
        <v>0</v>
      </c>
      <c r="I30" s="83"/>
      <c r="J30" s="84">
        <v>9000</v>
      </c>
      <c r="K30" s="86">
        <f t="shared" si="1"/>
        <v>0</v>
      </c>
    </row>
    <row r="31" spans="1:11" s="87" customFormat="1" x14ac:dyDescent="0.3">
      <c r="A31" s="83"/>
      <c r="B31" s="83"/>
      <c r="C31" s="143">
        <f t="shared" si="0"/>
        <v>0</v>
      </c>
      <c r="D31" s="83"/>
      <c r="E31" s="83"/>
      <c r="F31" s="83"/>
      <c r="G31" s="85">
        <v>7000</v>
      </c>
      <c r="H31" s="85">
        <f t="shared" si="2"/>
        <v>0</v>
      </c>
      <c r="I31" s="83"/>
      <c r="J31" s="84">
        <v>9000</v>
      </c>
      <c r="K31" s="86">
        <f t="shared" si="1"/>
        <v>0</v>
      </c>
    </row>
    <row r="32" spans="1:11" s="87" customFormat="1" x14ac:dyDescent="0.3">
      <c r="A32" s="83"/>
      <c r="B32" s="83"/>
      <c r="C32" s="143">
        <f t="shared" si="0"/>
        <v>0</v>
      </c>
      <c r="D32" s="83"/>
      <c r="E32" s="83"/>
      <c r="F32" s="83"/>
      <c r="G32" s="85">
        <v>7000</v>
      </c>
      <c r="H32" s="85">
        <f t="shared" si="2"/>
        <v>0</v>
      </c>
      <c r="I32" s="83"/>
      <c r="J32" s="84">
        <v>9000</v>
      </c>
      <c r="K32" s="86">
        <f t="shared" si="1"/>
        <v>0</v>
      </c>
    </row>
    <row r="33" spans="1:11" s="87" customFormat="1" x14ac:dyDescent="0.3">
      <c r="A33" s="83"/>
      <c r="B33" s="83"/>
      <c r="C33" s="143">
        <f t="shared" si="0"/>
        <v>0</v>
      </c>
      <c r="D33" s="83"/>
      <c r="E33" s="83"/>
      <c r="F33" s="83"/>
      <c r="G33" s="85">
        <v>7000</v>
      </c>
      <c r="H33" s="85">
        <f t="shared" si="2"/>
        <v>0</v>
      </c>
      <c r="I33" s="83"/>
      <c r="J33" s="84">
        <v>9000</v>
      </c>
      <c r="K33" s="86">
        <f t="shared" si="1"/>
        <v>0</v>
      </c>
    </row>
    <row r="34" spans="1:11" s="87" customFormat="1" x14ac:dyDescent="0.3">
      <c r="A34" s="83"/>
      <c r="B34" s="83"/>
      <c r="C34" s="143">
        <f t="shared" si="0"/>
        <v>0</v>
      </c>
      <c r="D34" s="83"/>
      <c r="E34" s="83"/>
      <c r="F34" s="83"/>
      <c r="G34" s="85">
        <v>7000</v>
      </c>
      <c r="H34" s="85">
        <f t="shared" si="2"/>
        <v>0</v>
      </c>
      <c r="I34" s="83"/>
      <c r="J34" s="84">
        <v>9000</v>
      </c>
      <c r="K34" s="86">
        <f t="shared" si="1"/>
        <v>0</v>
      </c>
    </row>
    <row r="35" spans="1:11" s="87" customFormat="1" x14ac:dyDescent="0.3">
      <c r="A35" s="83"/>
      <c r="B35" s="83"/>
      <c r="C35" s="143">
        <f t="shared" si="0"/>
        <v>0</v>
      </c>
      <c r="D35" s="83"/>
      <c r="E35" s="83"/>
      <c r="F35" s="83"/>
      <c r="G35" s="85">
        <v>7000</v>
      </c>
      <c r="H35" s="85">
        <f t="shared" si="2"/>
        <v>0</v>
      </c>
      <c r="I35" s="83"/>
      <c r="J35" s="84">
        <v>9000</v>
      </c>
      <c r="K35" s="86">
        <f t="shared" si="1"/>
        <v>0</v>
      </c>
    </row>
    <row r="36" spans="1:11" s="87" customFormat="1" x14ac:dyDescent="0.3">
      <c r="A36" s="83"/>
      <c r="B36" s="83"/>
      <c r="C36" s="143">
        <f t="shared" si="0"/>
        <v>0</v>
      </c>
      <c r="D36" s="83"/>
      <c r="E36" s="83"/>
      <c r="F36" s="83"/>
      <c r="G36" s="85">
        <v>7000</v>
      </c>
      <c r="H36" s="85">
        <f t="shared" si="2"/>
        <v>0</v>
      </c>
      <c r="I36" s="83"/>
      <c r="J36" s="84">
        <v>9000</v>
      </c>
      <c r="K36" s="86">
        <f t="shared" si="1"/>
        <v>0</v>
      </c>
    </row>
    <row r="37" spans="1:11" s="87" customFormat="1" x14ac:dyDescent="0.3">
      <c r="A37" s="83"/>
      <c r="B37" s="83"/>
      <c r="C37" s="143">
        <f t="shared" si="0"/>
        <v>0</v>
      </c>
      <c r="D37" s="83"/>
      <c r="E37" s="83"/>
      <c r="F37" s="83"/>
      <c r="G37" s="85">
        <v>7000</v>
      </c>
      <c r="H37" s="85">
        <f t="shared" si="2"/>
        <v>0</v>
      </c>
      <c r="I37" s="83"/>
      <c r="J37" s="84">
        <v>9000</v>
      </c>
      <c r="K37" s="86">
        <f t="shared" si="1"/>
        <v>0</v>
      </c>
    </row>
    <row r="38" spans="1:11" s="87" customFormat="1" x14ac:dyDescent="0.3">
      <c r="A38" s="83"/>
      <c r="B38" s="83"/>
      <c r="C38" s="143">
        <f t="shared" si="0"/>
        <v>0</v>
      </c>
      <c r="D38" s="83"/>
      <c r="E38" s="83"/>
      <c r="F38" s="83"/>
      <c r="G38" s="85">
        <v>7000</v>
      </c>
      <c r="H38" s="85">
        <f t="shared" si="2"/>
        <v>0</v>
      </c>
      <c r="I38" s="83"/>
      <c r="J38" s="84">
        <v>9000</v>
      </c>
      <c r="K38" s="86">
        <f t="shared" si="1"/>
        <v>0</v>
      </c>
    </row>
    <row r="39" spans="1:11" s="87" customFormat="1" x14ac:dyDescent="0.3">
      <c r="A39" s="83"/>
      <c r="B39" s="83"/>
      <c r="C39" s="143">
        <f t="shared" si="0"/>
        <v>0</v>
      </c>
      <c r="D39" s="83"/>
      <c r="E39" s="83"/>
      <c r="F39" s="83"/>
      <c r="G39" s="85">
        <v>7000</v>
      </c>
      <c r="H39" s="85">
        <f t="shared" si="2"/>
        <v>0</v>
      </c>
      <c r="I39" s="83"/>
      <c r="J39" s="84">
        <v>9000</v>
      </c>
      <c r="K39" s="86">
        <f t="shared" si="1"/>
        <v>0</v>
      </c>
    </row>
    <row r="40" spans="1:11" s="87" customFormat="1" x14ac:dyDescent="0.3">
      <c r="A40" s="92"/>
      <c r="B40" s="92"/>
      <c r="C40" s="143">
        <f t="shared" si="0"/>
        <v>0</v>
      </c>
      <c r="D40" s="83"/>
      <c r="E40" s="83"/>
      <c r="F40" s="83"/>
      <c r="G40" s="85">
        <v>7000</v>
      </c>
      <c r="H40" s="85">
        <f t="shared" si="2"/>
        <v>0</v>
      </c>
      <c r="I40" s="83"/>
      <c r="J40" s="84">
        <v>9000</v>
      </c>
      <c r="K40" s="86">
        <f t="shared" si="1"/>
        <v>0</v>
      </c>
    </row>
    <row r="41" spans="1:11" s="87" customFormat="1" x14ac:dyDescent="0.3">
      <c r="A41" s="92"/>
      <c r="B41" s="92"/>
      <c r="C41" s="143">
        <f t="shared" si="0"/>
        <v>0</v>
      </c>
      <c r="D41" s="83"/>
      <c r="E41" s="83"/>
      <c r="F41" s="83"/>
      <c r="G41" s="85">
        <v>7000</v>
      </c>
      <c r="H41" s="85">
        <f t="shared" si="2"/>
        <v>0</v>
      </c>
      <c r="I41" s="83"/>
      <c r="J41" s="84">
        <v>9000</v>
      </c>
      <c r="K41" s="86">
        <f t="shared" si="1"/>
        <v>0</v>
      </c>
    </row>
    <row r="42" spans="1:11" s="87" customFormat="1" x14ac:dyDescent="0.3">
      <c r="A42" s="92"/>
      <c r="B42" s="92"/>
      <c r="C42" s="143">
        <f t="shared" si="0"/>
        <v>0</v>
      </c>
      <c r="D42" s="83"/>
      <c r="E42" s="83"/>
      <c r="F42" s="83"/>
      <c r="G42" s="85">
        <v>7000</v>
      </c>
      <c r="H42" s="85">
        <f t="shared" si="2"/>
        <v>0</v>
      </c>
      <c r="I42" s="83"/>
      <c r="J42" s="84">
        <v>9000</v>
      </c>
      <c r="K42" s="86">
        <f t="shared" si="1"/>
        <v>0</v>
      </c>
    </row>
    <row r="43" spans="1:11" s="87" customFormat="1" x14ac:dyDescent="0.3">
      <c r="A43" s="92"/>
      <c r="B43" s="92"/>
      <c r="C43" s="143">
        <f t="shared" si="0"/>
        <v>0</v>
      </c>
      <c r="D43" s="83"/>
      <c r="E43" s="83"/>
      <c r="F43" s="83"/>
      <c r="G43" s="85">
        <v>7000</v>
      </c>
      <c r="H43" s="85">
        <f t="shared" si="2"/>
        <v>0</v>
      </c>
      <c r="I43" s="83"/>
      <c r="J43" s="84">
        <v>9000</v>
      </c>
      <c r="K43" s="86">
        <f t="shared" si="1"/>
        <v>0</v>
      </c>
    </row>
    <row r="44" spans="1:11" s="87" customFormat="1" x14ac:dyDescent="0.3">
      <c r="A44" s="92"/>
      <c r="B44" s="92"/>
      <c r="C44" s="143">
        <f t="shared" si="0"/>
        <v>0</v>
      </c>
      <c r="D44" s="83"/>
      <c r="E44" s="83"/>
      <c r="F44" s="83"/>
      <c r="G44" s="85">
        <v>7000</v>
      </c>
      <c r="H44" s="85">
        <f t="shared" si="2"/>
        <v>0</v>
      </c>
      <c r="I44" s="83"/>
      <c r="J44" s="84">
        <v>9000</v>
      </c>
      <c r="K44" s="86">
        <f t="shared" si="1"/>
        <v>0</v>
      </c>
    </row>
    <row r="45" spans="1:11" s="87" customFormat="1" x14ac:dyDescent="0.3">
      <c r="A45" s="92"/>
      <c r="B45" s="92"/>
      <c r="C45" s="143">
        <f t="shared" si="0"/>
        <v>0</v>
      </c>
      <c r="D45" s="83"/>
      <c r="E45" s="83"/>
      <c r="F45" s="83"/>
      <c r="G45" s="85">
        <v>7000</v>
      </c>
      <c r="H45" s="85">
        <f t="shared" si="2"/>
        <v>0</v>
      </c>
      <c r="I45" s="83"/>
      <c r="J45" s="84">
        <v>9000</v>
      </c>
      <c r="K45" s="86">
        <f t="shared" si="1"/>
        <v>0</v>
      </c>
    </row>
    <row r="46" spans="1:11" s="87" customFormat="1" x14ac:dyDescent="0.3">
      <c r="A46" s="92"/>
      <c r="B46" s="92"/>
      <c r="C46" s="143">
        <f t="shared" si="0"/>
        <v>0</v>
      </c>
      <c r="D46" s="83"/>
      <c r="E46" s="83"/>
      <c r="F46" s="83"/>
      <c r="G46" s="85">
        <v>7000</v>
      </c>
      <c r="H46" s="85">
        <f t="shared" si="2"/>
        <v>0</v>
      </c>
      <c r="I46" s="83"/>
      <c r="J46" s="84">
        <v>9000</v>
      </c>
      <c r="K46" s="86">
        <f t="shared" si="1"/>
        <v>0</v>
      </c>
    </row>
    <row r="47" spans="1:11" s="87" customFormat="1" x14ac:dyDescent="0.3">
      <c r="A47" s="92"/>
      <c r="B47" s="92"/>
      <c r="C47" s="143">
        <f t="shared" si="0"/>
        <v>0</v>
      </c>
      <c r="D47" s="83"/>
      <c r="E47" s="83"/>
      <c r="F47" s="83"/>
      <c r="G47" s="85">
        <v>7000</v>
      </c>
      <c r="H47" s="85">
        <f t="shared" si="2"/>
        <v>0</v>
      </c>
      <c r="I47" s="83"/>
      <c r="J47" s="84">
        <v>9000</v>
      </c>
      <c r="K47" s="86">
        <f t="shared" si="1"/>
        <v>0</v>
      </c>
    </row>
    <row r="48" spans="1:11" s="87" customFormat="1" x14ac:dyDescent="0.3">
      <c r="A48" s="92"/>
      <c r="B48" s="92"/>
      <c r="C48" s="143">
        <f t="shared" si="0"/>
        <v>0</v>
      </c>
      <c r="D48" s="83"/>
      <c r="E48" s="83"/>
      <c r="F48" s="83"/>
      <c r="G48" s="85">
        <v>7000</v>
      </c>
      <c r="H48" s="85">
        <f t="shared" si="2"/>
        <v>0</v>
      </c>
      <c r="I48" s="83"/>
      <c r="J48" s="84">
        <v>9000</v>
      </c>
      <c r="K48" s="86">
        <f t="shared" si="1"/>
        <v>0</v>
      </c>
    </row>
    <row r="49" spans="1:11" s="87" customFormat="1" x14ac:dyDescent="0.3">
      <c r="A49" s="92"/>
      <c r="B49" s="92"/>
      <c r="C49" s="143">
        <f t="shared" si="0"/>
        <v>0</v>
      </c>
      <c r="D49" s="83"/>
      <c r="E49" s="83"/>
      <c r="F49" s="83"/>
      <c r="G49" s="85">
        <v>7000</v>
      </c>
      <c r="H49" s="85">
        <f t="shared" si="2"/>
        <v>0</v>
      </c>
      <c r="I49" s="83"/>
      <c r="J49" s="84">
        <v>9000</v>
      </c>
      <c r="K49" s="86">
        <f t="shared" si="1"/>
        <v>0</v>
      </c>
    </row>
    <row r="50" spans="1:11" s="87" customFormat="1" x14ac:dyDescent="0.3">
      <c r="A50" s="92"/>
      <c r="B50" s="92"/>
      <c r="C50" s="143">
        <f t="shared" si="0"/>
        <v>0</v>
      </c>
      <c r="D50" s="83"/>
      <c r="E50" s="83"/>
      <c r="F50" s="83"/>
      <c r="G50" s="85">
        <v>7000</v>
      </c>
      <c r="H50" s="85">
        <f t="shared" si="2"/>
        <v>0</v>
      </c>
      <c r="I50" s="83"/>
      <c r="J50" s="84">
        <v>9000</v>
      </c>
      <c r="K50" s="86">
        <f t="shared" si="1"/>
        <v>0</v>
      </c>
    </row>
    <row r="51" spans="1:11" s="87" customFormat="1" x14ac:dyDescent="0.3">
      <c r="A51" s="92"/>
      <c r="B51" s="92"/>
      <c r="C51" s="143">
        <f t="shared" si="0"/>
        <v>0</v>
      </c>
      <c r="D51" s="83"/>
      <c r="E51" s="83"/>
      <c r="F51" s="83"/>
      <c r="G51" s="85">
        <v>7000</v>
      </c>
      <c r="H51" s="85">
        <f t="shared" si="2"/>
        <v>0</v>
      </c>
      <c r="I51" s="83"/>
      <c r="J51" s="84">
        <v>9000</v>
      </c>
      <c r="K51" s="86">
        <f t="shared" si="1"/>
        <v>0</v>
      </c>
    </row>
    <row r="52" spans="1:11" s="87" customFormat="1" x14ac:dyDescent="0.3">
      <c r="A52" s="92"/>
      <c r="B52" s="92"/>
      <c r="C52" s="143">
        <f t="shared" si="0"/>
        <v>0</v>
      </c>
      <c r="D52" s="83"/>
      <c r="E52" s="83"/>
      <c r="F52" s="83"/>
      <c r="G52" s="85">
        <v>7000</v>
      </c>
      <c r="H52" s="85">
        <f t="shared" si="2"/>
        <v>0</v>
      </c>
      <c r="I52" s="83"/>
      <c r="J52" s="84">
        <v>9000</v>
      </c>
      <c r="K52" s="86">
        <f t="shared" si="1"/>
        <v>0</v>
      </c>
    </row>
    <row r="53" spans="1:11" s="87" customFormat="1" x14ac:dyDescent="0.3">
      <c r="A53" s="92"/>
      <c r="B53" s="92"/>
      <c r="C53" s="143">
        <f t="shared" si="0"/>
        <v>0</v>
      </c>
      <c r="D53" s="83"/>
      <c r="E53" s="83"/>
      <c r="F53" s="83"/>
      <c r="G53" s="85">
        <v>7000</v>
      </c>
      <c r="H53" s="85">
        <f t="shared" si="2"/>
        <v>0</v>
      </c>
      <c r="I53" s="83"/>
      <c r="J53" s="84">
        <v>9000</v>
      </c>
      <c r="K53" s="86">
        <f t="shared" si="1"/>
        <v>0</v>
      </c>
    </row>
    <row r="54" spans="1:11" s="87" customFormat="1" x14ac:dyDescent="0.3">
      <c r="A54" s="92"/>
      <c r="B54" s="92"/>
      <c r="C54" s="143">
        <f t="shared" si="0"/>
        <v>0</v>
      </c>
      <c r="D54" s="83"/>
      <c r="E54" s="83"/>
      <c r="F54" s="83"/>
      <c r="G54" s="85">
        <v>7000</v>
      </c>
      <c r="H54" s="85">
        <f t="shared" si="2"/>
        <v>0</v>
      </c>
      <c r="I54" s="83"/>
      <c r="J54" s="84">
        <v>9000</v>
      </c>
      <c r="K54" s="86">
        <f t="shared" si="1"/>
        <v>0</v>
      </c>
    </row>
    <row r="55" spans="1:11" s="87" customFormat="1" x14ac:dyDescent="0.3">
      <c r="A55" s="92"/>
      <c r="B55" s="92"/>
      <c r="C55" s="143">
        <f t="shared" si="0"/>
        <v>0</v>
      </c>
      <c r="D55" s="83"/>
      <c r="E55" s="83"/>
      <c r="F55" s="83"/>
      <c r="G55" s="85">
        <v>7000</v>
      </c>
      <c r="H55" s="85">
        <f t="shared" si="2"/>
        <v>0</v>
      </c>
      <c r="I55" s="83"/>
      <c r="J55" s="84">
        <v>9000</v>
      </c>
      <c r="K55" s="86">
        <f t="shared" si="1"/>
        <v>0</v>
      </c>
    </row>
    <row r="56" spans="1:11" s="87" customFormat="1" x14ac:dyDescent="0.3">
      <c r="A56" s="92"/>
      <c r="B56" s="92"/>
      <c r="C56" s="143">
        <f t="shared" si="0"/>
        <v>0</v>
      </c>
      <c r="D56" s="83"/>
      <c r="E56" s="83"/>
      <c r="F56" s="83"/>
      <c r="G56" s="85">
        <v>7000</v>
      </c>
      <c r="H56" s="85">
        <f t="shared" si="2"/>
        <v>0</v>
      </c>
      <c r="I56" s="83"/>
      <c r="J56" s="84">
        <v>9000</v>
      </c>
      <c r="K56" s="86">
        <f t="shared" si="1"/>
        <v>0</v>
      </c>
    </row>
    <row r="57" spans="1:11" s="87" customFormat="1" x14ac:dyDescent="0.3">
      <c r="A57" s="92"/>
      <c r="B57" s="92"/>
      <c r="C57" s="143">
        <f t="shared" si="0"/>
        <v>0</v>
      </c>
      <c r="D57" s="83"/>
      <c r="E57" s="83"/>
      <c r="F57" s="83"/>
      <c r="G57" s="85">
        <v>7000</v>
      </c>
      <c r="H57" s="85">
        <f t="shared" si="2"/>
        <v>0</v>
      </c>
      <c r="I57" s="83"/>
      <c r="J57" s="84">
        <v>9000</v>
      </c>
      <c r="K57" s="86">
        <f t="shared" si="1"/>
        <v>0</v>
      </c>
    </row>
    <row r="58" spans="1:11" s="87" customFormat="1" x14ac:dyDescent="0.3">
      <c r="A58" s="92"/>
      <c r="B58" s="92"/>
      <c r="C58" s="143">
        <f t="shared" si="0"/>
        <v>0</v>
      </c>
      <c r="D58" s="83"/>
      <c r="E58" s="83"/>
      <c r="F58" s="83"/>
      <c r="G58" s="85">
        <v>7000</v>
      </c>
      <c r="H58" s="85">
        <f t="shared" si="2"/>
        <v>0</v>
      </c>
      <c r="I58" s="83"/>
      <c r="J58" s="84">
        <v>9000</v>
      </c>
      <c r="K58" s="86">
        <f t="shared" si="1"/>
        <v>0</v>
      </c>
    </row>
    <row r="59" spans="1:11" s="87" customFormat="1" x14ac:dyDescent="0.3">
      <c r="A59" s="92"/>
      <c r="B59" s="92"/>
      <c r="C59" s="143">
        <f t="shared" si="0"/>
        <v>0</v>
      </c>
      <c r="D59" s="83"/>
      <c r="E59" s="83"/>
      <c r="F59" s="83"/>
      <c r="G59" s="85">
        <v>7000</v>
      </c>
      <c r="H59" s="85">
        <f t="shared" si="2"/>
        <v>0</v>
      </c>
      <c r="I59" s="83"/>
      <c r="J59" s="84">
        <v>9000</v>
      </c>
      <c r="K59" s="86">
        <f t="shared" si="1"/>
        <v>0</v>
      </c>
    </row>
    <row r="60" spans="1:11" s="87" customFormat="1" x14ac:dyDescent="0.3">
      <c r="A60" s="83"/>
      <c r="B60" s="83"/>
      <c r="C60" s="143">
        <f t="shared" si="0"/>
        <v>0</v>
      </c>
      <c r="D60" s="83"/>
      <c r="E60" s="83"/>
      <c r="F60" s="83"/>
      <c r="G60" s="85">
        <v>7000</v>
      </c>
      <c r="H60" s="85">
        <f t="shared" si="2"/>
        <v>0</v>
      </c>
      <c r="I60" s="83"/>
      <c r="J60" s="84">
        <v>9000</v>
      </c>
      <c r="K60" s="86">
        <f t="shared" si="1"/>
        <v>0</v>
      </c>
    </row>
    <row r="61" spans="1:11" s="87" customFormat="1" x14ac:dyDescent="0.3">
      <c r="A61" s="83"/>
      <c r="B61" s="83"/>
      <c r="C61" s="143">
        <f t="shared" si="0"/>
        <v>0</v>
      </c>
      <c r="D61" s="83"/>
      <c r="E61" s="83"/>
      <c r="F61" s="83"/>
      <c r="G61" s="85">
        <v>7000</v>
      </c>
      <c r="H61" s="85">
        <f t="shared" si="2"/>
        <v>0</v>
      </c>
      <c r="I61" s="83"/>
      <c r="J61" s="84">
        <v>9000</v>
      </c>
      <c r="K61" s="86">
        <f t="shared" si="1"/>
        <v>0</v>
      </c>
    </row>
    <row r="62" spans="1:11" s="87" customFormat="1" x14ac:dyDescent="0.3">
      <c r="A62" s="83"/>
      <c r="B62" s="83"/>
      <c r="C62" s="143">
        <f t="shared" si="0"/>
        <v>0</v>
      </c>
      <c r="D62" s="83"/>
      <c r="E62" s="83"/>
      <c r="F62" s="83"/>
      <c r="G62" s="85">
        <v>7000</v>
      </c>
      <c r="H62" s="85">
        <f t="shared" si="2"/>
        <v>0</v>
      </c>
      <c r="I62" s="83"/>
      <c r="J62" s="84">
        <v>9000</v>
      </c>
      <c r="K62" s="86">
        <f t="shared" si="1"/>
        <v>0</v>
      </c>
    </row>
    <row r="63" spans="1:11" s="87" customFormat="1" x14ac:dyDescent="0.3">
      <c r="A63" s="83"/>
      <c r="B63" s="83"/>
      <c r="C63" s="143">
        <f t="shared" si="0"/>
        <v>0</v>
      </c>
      <c r="D63" s="83"/>
      <c r="E63" s="83"/>
      <c r="F63" s="83"/>
      <c r="G63" s="85">
        <v>7000</v>
      </c>
      <c r="H63" s="85">
        <f t="shared" si="2"/>
        <v>0</v>
      </c>
      <c r="I63" s="83"/>
      <c r="J63" s="84">
        <v>9000</v>
      </c>
      <c r="K63" s="86">
        <f t="shared" si="1"/>
        <v>0</v>
      </c>
    </row>
    <row r="64" spans="1:11" s="87" customFormat="1" x14ac:dyDescent="0.3">
      <c r="A64" s="83"/>
      <c r="B64" s="83"/>
      <c r="C64" s="143">
        <f t="shared" si="0"/>
        <v>0</v>
      </c>
      <c r="D64" s="83"/>
      <c r="E64" s="83"/>
      <c r="F64" s="83"/>
      <c r="G64" s="85">
        <v>7000</v>
      </c>
      <c r="H64" s="85">
        <f t="shared" si="2"/>
        <v>0</v>
      </c>
      <c r="I64" s="83"/>
      <c r="J64" s="84">
        <v>9000</v>
      </c>
      <c r="K64" s="86">
        <f t="shared" si="1"/>
        <v>0</v>
      </c>
    </row>
    <row r="65" spans="1:11" s="87" customFormat="1" x14ac:dyDescent="0.3">
      <c r="A65" s="83"/>
      <c r="B65" s="83"/>
      <c r="C65" s="143">
        <f t="shared" si="0"/>
        <v>0</v>
      </c>
      <c r="D65" s="83"/>
      <c r="E65" s="83"/>
      <c r="F65" s="83"/>
      <c r="G65" s="85">
        <v>7000</v>
      </c>
      <c r="H65" s="85">
        <f t="shared" si="2"/>
        <v>0</v>
      </c>
      <c r="I65" s="83"/>
      <c r="J65" s="84">
        <v>9000</v>
      </c>
      <c r="K65" s="86">
        <f t="shared" si="1"/>
        <v>0</v>
      </c>
    </row>
    <row r="66" spans="1:11" s="87" customFormat="1" x14ac:dyDescent="0.3">
      <c r="A66" s="83"/>
      <c r="B66" s="83"/>
      <c r="C66" s="143">
        <f t="shared" si="0"/>
        <v>0</v>
      </c>
      <c r="D66" s="83"/>
      <c r="E66" s="83"/>
      <c r="F66" s="83"/>
      <c r="G66" s="85">
        <v>7000</v>
      </c>
      <c r="H66" s="85">
        <f t="shared" si="2"/>
        <v>0</v>
      </c>
      <c r="I66" s="83"/>
      <c r="J66" s="84">
        <v>9000</v>
      </c>
      <c r="K66" s="86">
        <f t="shared" si="1"/>
        <v>0</v>
      </c>
    </row>
    <row r="67" spans="1:11" s="87" customFormat="1" x14ac:dyDescent="0.3">
      <c r="A67" s="83"/>
      <c r="B67" s="83"/>
      <c r="C67" s="143">
        <f t="shared" si="0"/>
        <v>0</v>
      </c>
      <c r="D67" s="83"/>
      <c r="E67" s="83"/>
      <c r="F67" s="83"/>
      <c r="G67" s="85">
        <v>7000</v>
      </c>
      <c r="H67" s="85">
        <f t="shared" si="2"/>
        <v>0</v>
      </c>
      <c r="I67" s="83"/>
      <c r="J67" s="84">
        <v>9000</v>
      </c>
      <c r="K67" s="86">
        <f t="shared" si="1"/>
        <v>0</v>
      </c>
    </row>
    <row r="68" spans="1:11" s="87" customFormat="1" x14ac:dyDescent="0.3">
      <c r="A68" s="83"/>
      <c r="B68" s="83"/>
      <c r="C68" s="143">
        <f t="shared" si="0"/>
        <v>0</v>
      </c>
      <c r="D68" s="83"/>
      <c r="E68" s="83"/>
      <c r="F68" s="83"/>
      <c r="G68" s="85">
        <v>7000</v>
      </c>
      <c r="H68" s="85">
        <f t="shared" si="2"/>
        <v>0</v>
      </c>
      <c r="I68" s="83"/>
      <c r="J68" s="84">
        <v>9000</v>
      </c>
      <c r="K68" s="86">
        <f t="shared" si="1"/>
        <v>0</v>
      </c>
    </row>
    <row r="69" spans="1:11" s="87" customFormat="1" x14ac:dyDescent="0.3">
      <c r="A69" s="83"/>
      <c r="B69" s="83"/>
      <c r="C69" s="143">
        <f t="shared" si="0"/>
        <v>0</v>
      </c>
      <c r="D69" s="83"/>
      <c r="E69" s="83"/>
      <c r="F69" s="83"/>
      <c r="G69" s="85">
        <v>7000</v>
      </c>
      <c r="H69" s="85">
        <f t="shared" si="2"/>
        <v>0</v>
      </c>
      <c r="I69" s="83"/>
      <c r="J69" s="84">
        <v>9000</v>
      </c>
      <c r="K69" s="86">
        <f t="shared" si="1"/>
        <v>0</v>
      </c>
    </row>
    <row r="70" spans="1:11" s="87" customFormat="1" x14ac:dyDescent="0.3">
      <c r="C70" s="93"/>
      <c r="G70" s="93"/>
      <c r="H70" s="93"/>
      <c r="J70" s="93"/>
      <c r="K70" s="93"/>
    </row>
    <row r="71" spans="1:11" s="87" customFormat="1" x14ac:dyDescent="0.3">
      <c r="B71" s="114"/>
      <c r="C71" s="115"/>
      <c r="D71" s="114"/>
      <c r="E71" s="114"/>
      <c r="F71" s="114"/>
      <c r="G71" s="115"/>
      <c r="H71" s="115"/>
      <c r="I71" s="114"/>
      <c r="J71" s="115"/>
      <c r="K71" s="115"/>
    </row>
    <row r="72" spans="1:11" ht="15" thickBot="1" x14ac:dyDescent="0.35">
      <c r="B72" s="116"/>
      <c r="C72" s="117"/>
      <c r="D72" s="136"/>
      <c r="E72" s="81"/>
      <c r="F72" s="81"/>
      <c r="G72" s="119"/>
      <c r="H72" s="120"/>
      <c r="I72" s="121"/>
      <c r="J72" s="120"/>
      <c r="K72" s="120"/>
    </row>
    <row r="73" spans="1:11" x14ac:dyDescent="0.3">
      <c r="B73" s="163" t="s">
        <v>27</v>
      </c>
      <c r="C73" s="163"/>
      <c r="D73" s="136"/>
      <c r="E73" s="136"/>
      <c r="F73" s="122"/>
      <c r="G73" s="119"/>
      <c r="H73" s="163" t="s">
        <v>29</v>
      </c>
      <c r="I73" s="163"/>
      <c r="J73" s="163"/>
      <c r="K73" s="163"/>
    </row>
    <row r="74" spans="1:11" x14ac:dyDescent="0.3">
      <c r="B74" s="164" t="s">
        <v>28</v>
      </c>
      <c r="C74" s="164"/>
      <c r="D74" s="136"/>
      <c r="E74" s="81"/>
      <c r="F74" s="81"/>
      <c r="G74" s="119"/>
      <c r="H74" s="165" t="s">
        <v>30</v>
      </c>
      <c r="I74" s="165"/>
      <c r="J74" s="165"/>
      <c r="K74" s="165"/>
    </row>
    <row r="75" spans="1:11" x14ac:dyDescent="0.3">
      <c r="B75" s="81"/>
      <c r="C75" s="122"/>
      <c r="D75" s="136"/>
      <c r="E75" s="81"/>
      <c r="F75" s="81"/>
      <c r="G75" s="119"/>
      <c r="H75" s="136"/>
      <c r="I75" s="122"/>
      <c r="J75" s="119"/>
      <c r="K75" s="119"/>
    </row>
    <row r="76" spans="1:11" x14ac:dyDescent="0.3">
      <c r="C76" s="45"/>
      <c r="D76" s="44"/>
    </row>
    <row r="77" spans="1:11" x14ac:dyDescent="0.3">
      <c r="G77" s="78"/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3"/>
  <dimension ref="A1:N77"/>
  <sheetViews>
    <sheetView zoomScaleNormal="100" workbookViewId="0">
      <pane xSplit="1" topLeftCell="B1" activePane="topRight" state="frozen"/>
      <selection pane="topRight" activeCell="E65" sqref="E65"/>
    </sheetView>
  </sheetViews>
  <sheetFormatPr baseColWidth="10" defaultRowHeight="14.4" x14ac:dyDescent="0.3"/>
  <cols>
    <col min="1" max="1" width="11.44140625" style="78"/>
    <col min="2" max="2" width="31.109375" style="78" customWidth="1"/>
    <col min="3" max="3" width="13.33203125" style="79" customWidth="1"/>
    <col min="4" max="4" width="11.44140625" style="78" customWidth="1"/>
    <col min="5" max="5" width="11.109375" style="78" customWidth="1"/>
    <col min="6" max="6" width="11.5546875" style="78" customWidth="1"/>
    <col min="7" max="7" width="8.6640625" style="79" customWidth="1"/>
    <col min="8" max="8" width="15.109375" style="79" customWidth="1"/>
    <col min="9" max="9" width="13.6640625" style="80" customWidth="1"/>
    <col min="10" max="10" width="8.6640625" style="79" customWidth="1"/>
    <col min="11" max="11" width="10.44140625" style="79" customWidth="1"/>
    <col min="12" max="249" width="11.44140625" style="78"/>
    <col min="250" max="250" width="30.33203125" style="78" customWidth="1"/>
    <col min="251" max="251" width="10.44140625" style="78" customWidth="1"/>
    <col min="252" max="253" width="11.44140625" style="78"/>
    <col min="254" max="254" width="10.33203125" style="78" customWidth="1"/>
    <col min="255" max="255" width="9.5546875" style="78" customWidth="1"/>
    <col min="256" max="256" width="13.109375" style="78" customWidth="1"/>
    <col min="257" max="257" width="9.88671875" style="78" customWidth="1"/>
    <col min="258" max="258" width="9.109375" style="78" customWidth="1"/>
    <col min="259" max="260" width="13.88671875" style="78" customWidth="1"/>
    <col min="261" max="261" width="10.5546875" style="78" customWidth="1"/>
    <col min="262" max="262" width="15.109375" style="78" customWidth="1"/>
    <col min="263" max="263" width="20.44140625" style="78" customWidth="1"/>
    <col min="264" max="505" width="11.44140625" style="78"/>
    <col min="506" max="506" width="30.33203125" style="78" customWidth="1"/>
    <col min="507" max="507" width="10.44140625" style="78" customWidth="1"/>
    <col min="508" max="509" width="11.44140625" style="78"/>
    <col min="510" max="510" width="10.33203125" style="78" customWidth="1"/>
    <col min="511" max="511" width="9.5546875" style="78" customWidth="1"/>
    <col min="512" max="512" width="13.109375" style="78" customWidth="1"/>
    <col min="513" max="513" width="9.88671875" style="78" customWidth="1"/>
    <col min="514" max="514" width="9.109375" style="78" customWidth="1"/>
    <col min="515" max="516" width="13.88671875" style="78" customWidth="1"/>
    <col min="517" max="517" width="10.5546875" style="78" customWidth="1"/>
    <col min="518" max="518" width="15.109375" style="78" customWidth="1"/>
    <col min="519" max="519" width="20.44140625" style="78" customWidth="1"/>
    <col min="520" max="761" width="11.44140625" style="78"/>
    <col min="762" max="762" width="30.33203125" style="78" customWidth="1"/>
    <col min="763" max="763" width="10.44140625" style="78" customWidth="1"/>
    <col min="764" max="765" width="11.44140625" style="78"/>
    <col min="766" max="766" width="10.33203125" style="78" customWidth="1"/>
    <col min="767" max="767" width="9.5546875" style="78" customWidth="1"/>
    <col min="768" max="768" width="13.109375" style="78" customWidth="1"/>
    <col min="769" max="769" width="9.88671875" style="78" customWidth="1"/>
    <col min="770" max="770" width="9.109375" style="78" customWidth="1"/>
    <col min="771" max="772" width="13.88671875" style="78" customWidth="1"/>
    <col min="773" max="773" width="10.5546875" style="78" customWidth="1"/>
    <col min="774" max="774" width="15.109375" style="78" customWidth="1"/>
    <col min="775" max="775" width="20.44140625" style="78" customWidth="1"/>
    <col min="776" max="1017" width="11.44140625" style="78"/>
    <col min="1018" max="1018" width="30.33203125" style="78" customWidth="1"/>
    <col min="1019" max="1019" width="10.44140625" style="78" customWidth="1"/>
    <col min="1020" max="1021" width="11.44140625" style="78"/>
    <col min="1022" max="1022" width="10.33203125" style="78" customWidth="1"/>
    <col min="1023" max="1023" width="9.5546875" style="78" customWidth="1"/>
    <col min="1024" max="1024" width="13.109375" style="78" customWidth="1"/>
    <col min="1025" max="1025" width="9.88671875" style="78" customWidth="1"/>
    <col min="1026" max="1026" width="9.109375" style="78" customWidth="1"/>
    <col min="1027" max="1028" width="13.88671875" style="78" customWidth="1"/>
    <col min="1029" max="1029" width="10.5546875" style="78" customWidth="1"/>
    <col min="1030" max="1030" width="15.109375" style="78" customWidth="1"/>
    <col min="1031" max="1031" width="20.44140625" style="78" customWidth="1"/>
    <col min="1032" max="1273" width="11.44140625" style="78"/>
    <col min="1274" max="1274" width="30.33203125" style="78" customWidth="1"/>
    <col min="1275" max="1275" width="10.44140625" style="78" customWidth="1"/>
    <col min="1276" max="1277" width="11.44140625" style="78"/>
    <col min="1278" max="1278" width="10.33203125" style="78" customWidth="1"/>
    <col min="1279" max="1279" width="9.5546875" style="78" customWidth="1"/>
    <col min="1280" max="1280" width="13.109375" style="78" customWidth="1"/>
    <col min="1281" max="1281" width="9.88671875" style="78" customWidth="1"/>
    <col min="1282" max="1282" width="9.109375" style="78" customWidth="1"/>
    <col min="1283" max="1284" width="13.88671875" style="78" customWidth="1"/>
    <col min="1285" max="1285" width="10.5546875" style="78" customWidth="1"/>
    <col min="1286" max="1286" width="15.109375" style="78" customWidth="1"/>
    <col min="1287" max="1287" width="20.44140625" style="78" customWidth="1"/>
    <col min="1288" max="1529" width="11.44140625" style="78"/>
    <col min="1530" max="1530" width="30.33203125" style="78" customWidth="1"/>
    <col min="1531" max="1531" width="10.44140625" style="78" customWidth="1"/>
    <col min="1532" max="1533" width="11.44140625" style="78"/>
    <col min="1534" max="1534" width="10.33203125" style="78" customWidth="1"/>
    <col min="1535" max="1535" width="9.5546875" style="78" customWidth="1"/>
    <col min="1536" max="1536" width="13.109375" style="78" customWidth="1"/>
    <col min="1537" max="1537" width="9.88671875" style="78" customWidth="1"/>
    <col min="1538" max="1538" width="9.109375" style="78" customWidth="1"/>
    <col min="1539" max="1540" width="13.88671875" style="78" customWidth="1"/>
    <col min="1541" max="1541" width="10.5546875" style="78" customWidth="1"/>
    <col min="1542" max="1542" width="15.109375" style="78" customWidth="1"/>
    <col min="1543" max="1543" width="20.44140625" style="78" customWidth="1"/>
    <col min="1544" max="1785" width="11.44140625" style="78"/>
    <col min="1786" max="1786" width="30.33203125" style="78" customWidth="1"/>
    <col min="1787" max="1787" width="10.44140625" style="78" customWidth="1"/>
    <col min="1788" max="1789" width="11.44140625" style="78"/>
    <col min="1790" max="1790" width="10.33203125" style="78" customWidth="1"/>
    <col min="1791" max="1791" width="9.5546875" style="78" customWidth="1"/>
    <col min="1792" max="1792" width="13.109375" style="78" customWidth="1"/>
    <col min="1793" max="1793" width="9.88671875" style="78" customWidth="1"/>
    <col min="1794" max="1794" width="9.109375" style="78" customWidth="1"/>
    <col min="1795" max="1796" width="13.88671875" style="78" customWidth="1"/>
    <col min="1797" max="1797" width="10.5546875" style="78" customWidth="1"/>
    <col min="1798" max="1798" width="15.109375" style="78" customWidth="1"/>
    <col min="1799" max="1799" width="20.44140625" style="78" customWidth="1"/>
    <col min="1800" max="2041" width="11.44140625" style="78"/>
    <col min="2042" max="2042" width="30.33203125" style="78" customWidth="1"/>
    <col min="2043" max="2043" width="10.44140625" style="78" customWidth="1"/>
    <col min="2044" max="2045" width="11.44140625" style="78"/>
    <col min="2046" max="2046" width="10.33203125" style="78" customWidth="1"/>
    <col min="2047" max="2047" width="9.5546875" style="78" customWidth="1"/>
    <col min="2048" max="2048" width="13.109375" style="78" customWidth="1"/>
    <col min="2049" max="2049" width="9.88671875" style="78" customWidth="1"/>
    <col min="2050" max="2050" width="9.109375" style="78" customWidth="1"/>
    <col min="2051" max="2052" width="13.88671875" style="78" customWidth="1"/>
    <col min="2053" max="2053" width="10.5546875" style="78" customWidth="1"/>
    <col min="2054" max="2054" width="15.109375" style="78" customWidth="1"/>
    <col min="2055" max="2055" width="20.44140625" style="78" customWidth="1"/>
    <col min="2056" max="2297" width="11.44140625" style="78"/>
    <col min="2298" max="2298" width="30.33203125" style="78" customWidth="1"/>
    <col min="2299" max="2299" width="10.44140625" style="78" customWidth="1"/>
    <col min="2300" max="2301" width="11.44140625" style="78"/>
    <col min="2302" max="2302" width="10.33203125" style="78" customWidth="1"/>
    <col min="2303" max="2303" width="9.5546875" style="78" customWidth="1"/>
    <col min="2304" max="2304" width="13.109375" style="78" customWidth="1"/>
    <col min="2305" max="2305" width="9.88671875" style="78" customWidth="1"/>
    <col min="2306" max="2306" width="9.109375" style="78" customWidth="1"/>
    <col min="2307" max="2308" width="13.88671875" style="78" customWidth="1"/>
    <col min="2309" max="2309" width="10.5546875" style="78" customWidth="1"/>
    <col min="2310" max="2310" width="15.109375" style="78" customWidth="1"/>
    <col min="2311" max="2311" width="20.44140625" style="78" customWidth="1"/>
    <col min="2312" max="2553" width="11.44140625" style="78"/>
    <col min="2554" max="2554" width="30.33203125" style="78" customWidth="1"/>
    <col min="2555" max="2555" width="10.44140625" style="78" customWidth="1"/>
    <col min="2556" max="2557" width="11.44140625" style="78"/>
    <col min="2558" max="2558" width="10.33203125" style="78" customWidth="1"/>
    <col min="2559" max="2559" width="9.5546875" style="78" customWidth="1"/>
    <col min="2560" max="2560" width="13.109375" style="78" customWidth="1"/>
    <col min="2561" max="2561" width="9.88671875" style="78" customWidth="1"/>
    <col min="2562" max="2562" width="9.109375" style="78" customWidth="1"/>
    <col min="2563" max="2564" width="13.88671875" style="78" customWidth="1"/>
    <col min="2565" max="2565" width="10.5546875" style="78" customWidth="1"/>
    <col min="2566" max="2566" width="15.109375" style="78" customWidth="1"/>
    <col min="2567" max="2567" width="20.44140625" style="78" customWidth="1"/>
    <col min="2568" max="2809" width="11.44140625" style="78"/>
    <col min="2810" max="2810" width="30.33203125" style="78" customWidth="1"/>
    <col min="2811" max="2811" width="10.44140625" style="78" customWidth="1"/>
    <col min="2812" max="2813" width="11.44140625" style="78"/>
    <col min="2814" max="2814" width="10.33203125" style="78" customWidth="1"/>
    <col min="2815" max="2815" width="9.5546875" style="78" customWidth="1"/>
    <col min="2816" max="2816" width="13.109375" style="78" customWidth="1"/>
    <col min="2817" max="2817" width="9.88671875" style="78" customWidth="1"/>
    <col min="2818" max="2818" width="9.109375" style="78" customWidth="1"/>
    <col min="2819" max="2820" width="13.88671875" style="78" customWidth="1"/>
    <col min="2821" max="2821" width="10.5546875" style="78" customWidth="1"/>
    <col min="2822" max="2822" width="15.109375" style="78" customWidth="1"/>
    <col min="2823" max="2823" width="20.44140625" style="78" customWidth="1"/>
    <col min="2824" max="3065" width="11.44140625" style="78"/>
    <col min="3066" max="3066" width="30.33203125" style="78" customWidth="1"/>
    <col min="3067" max="3067" width="10.44140625" style="78" customWidth="1"/>
    <col min="3068" max="3069" width="11.44140625" style="78"/>
    <col min="3070" max="3070" width="10.33203125" style="78" customWidth="1"/>
    <col min="3071" max="3071" width="9.5546875" style="78" customWidth="1"/>
    <col min="3072" max="3072" width="13.109375" style="78" customWidth="1"/>
    <col min="3073" max="3073" width="9.88671875" style="78" customWidth="1"/>
    <col min="3074" max="3074" width="9.109375" style="78" customWidth="1"/>
    <col min="3075" max="3076" width="13.88671875" style="78" customWidth="1"/>
    <col min="3077" max="3077" width="10.5546875" style="78" customWidth="1"/>
    <col min="3078" max="3078" width="15.109375" style="78" customWidth="1"/>
    <col min="3079" max="3079" width="20.44140625" style="78" customWidth="1"/>
    <col min="3080" max="3321" width="11.44140625" style="78"/>
    <col min="3322" max="3322" width="30.33203125" style="78" customWidth="1"/>
    <col min="3323" max="3323" width="10.44140625" style="78" customWidth="1"/>
    <col min="3324" max="3325" width="11.44140625" style="78"/>
    <col min="3326" max="3326" width="10.33203125" style="78" customWidth="1"/>
    <col min="3327" max="3327" width="9.5546875" style="78" customWidth="1"/>
    <col min="3328" max="3328" width="13.109375" style="78" customWidth="1"/>
    <col min="3329" max="3329" width="9.88671875" style="78" customWidth="1"/>
    <col min="3330" max="3330" width="9.109375" style="78" customWidth="1"/>
    <col min="3331" max="3332" width="13.88671875" style="78" customWidth="1"/>
    <col min="3333" max="3333" width="10.5546875" style="78" customWidth="1"/>
    <col min="3334" max="3334" width="15.109375" style="78" customWidth="1"/>
    <col min="3335" max="3335" width="20.44140625" style="78" customWidth="1"/>
    <col min="3336" max="3577" width="11.44140625" style="78"/>
    <col min="3578" max="3578" width="30.33203125" style="78" customWidth="1"/>
    <col min="3579" max="3579" width="10.44140625" style="78" customWidth="1"/>
    <col min="3580" max="3581" width="11.44140625" style="78"/>
    <col min="3582" max="3582" width="10.33203125" style="78" customWidth="1"/>
    <col min="3583" max="3583" width="9.5546875" style="78" customWidth="1"/>
    <col min="3584" max="3584" width="13.109375" style="78" customWidth="1"/>
    <col min="3585" max="3585" width="9.88671875" style="78" customWidth="1"/>
    <col min="3586" max="3586" width="9.109375" style="78" customWidth="1"/>
    <col min="3587" max="3588" width="13.88671875" style="78" customWidth="1"/>
    <col min="3589" max="3589" width="10.5546875" style="78" customWidth="1"/>
    <col min="3590" max="3590" width="15.109375" style="78" customWidth="1"/>
    <col min="3591" max="3591" width="20.44140625" style="78" customWidth="1"/>
    <col min="3592" max="3833" width="11.44140625" style="78"/>
    <col min="3834" max="3834" width="30.33203125" style="78" customWidth="1"/>
    <col min="3835" max="3835" width="10.44140625" style="78" customWidth="1"/>
    <col min="3836" max="3837" width="11.44140625" style="78"/>
    <col min="3838" max="3838" width="10.33203125" style="78" customWidth="1"/>
    <col min="3839" max="3839" width="9.5546875" style="78" customWidth="1"/>
    <col min="3840" max="3840" width="13.109375" style="78" customWidth="1"/>
    <col min="3841" max="3841" width="9.88671875" style="78" customWidth="1"/>
    <col min="3842" max="3842" width="9.109375" style="78" customWidth="1"/>
    <col min="3843" max="3844" width="13.88671875" style="78" customWidth="1"/>
    <col min="3845" max="3845" width="10.5546875" style="78" customWidth="1"/>
    <col min="3846" max="3846" width="15.109375" style="78" customWidth="1"/>
    <col min="3847" max="3847" width="20.44140625" style="78" customWidth="1"/>
    <col min="3848" max="4089" width="11.44140625" style="78"/>
    <col min="4090" max="4090" width="30.33203125" style="78" customWidth="1"/>
    <col min="4091" max="4091" width="10.44140625" style="78" customWidth="1"/>
    <col min="4092" max="4093" width="11.44140625" style="78"/>
    <col min="4094" max="4094" width="10.33203125" style="78" customWidth="1"/>
    <col min="4095" max="4095" width="9.5546875" style="78" customWidth="1"/>
    <col min="4096" max="4096" width="13.109375" style="78" customWidth="1"/>
    <col min="4097" max="4097" width="9.88671875" style="78" customWidth="1"/>
    <col min="4098" max="4098" width="9.109375" style="78" customWidth="1"/>
    <col min="4099" max="4100" width="13.88671875" style="78" customWidth="1"/>
    <col min="4101" max="4101" width="10.5546875" style="78" customWidth="1"/>
    <col min="4102" max="4102" width="15.109375" style="78" customWidth="1"/>
    <col min="4103" max="4103" width="20.44140625" style="78" customWidth="1"/>
    <col min="4104" max="4345" width="11.44140625" style="78"/>
    <col min="4346" max="4346" width="30.33203125" style="78" customWidth="1"/>
    <col min="4347" max="4347" width="10.44140625" style="78" customWidth="1"/>
    <col min="4348" max="4349" width="11.44140625" style="78"/>
    <col min="4350" max="4350" width="10.33203125" style="78" customWidth="1"/>
    <col min="4351" max="4351" width="9.5546875" style="78" customWidth="1"/>
    <col min="4352" max="4352" width="13.109375" style="78" customWidth="1"/>
    <col min="4353" max="4353" width="9.88671875" style="78" customWidth="1"/>
    <col min="4354" max="4354" width="9.109375" style="78" customWidth="1"/>
    <col min="4355" max="4356" width="13.88671875" style="78" customWidth="1"/>
    <col min="4357" max="4357" width="10.5546875" style="78" customWidth="1"/>
    <col min="4358" max="4358" width="15.109375" style="78" customWidth="1"/>
    <col min="4359" max="4359" width="20.44140625" style="78" customWidth="1"/>
    <col min="4360" max="4601" width="11.44140625" style="78"/>
    <col min="4602" max="4602" width="30.33203125" style="78" customWidth="1"/>
    <col min="4603" max="4603" width="10.44140625" style="78" customWidth="1"/>
    <col min="4604" max="4605" width="11.44140625" style="78"/>
    <col min="4606" max="4606" width="10.33203125" style="78" customWidth="1"/>
    <col min="4607" max="4607" width="9.5546875" style="78" customWidth="1"/>
    <col min="4608" max="4608" width="13.109375" style="78" customWidth="1"/>
    <col min="4609" max="4609" width="9.88671875" style="78" customWidth="1"/>
    <col min="4610" max="4610" width="9.109375" style="78" customWidth="1"/>
    <col min="4611" max="4612" width="13.88671875" style="78" customWidth="1"/>
    <col min="4613" max="4613" width="10.5546875" style="78" customWidth="1"/>
    <col min="4614" max="4614" width="15.109375" style="78" customWidth="1"/>
    <col min="4615" max="4615" width="20.44140625" style="78" customWidth="1"/>
    <col min="4616" max="4857" width="11.44140625" style="78"/>
    <col min="4858" max="4858" width="30.33203125" style="78" customWidth="1"/>
    <col min="4859" max="4859" width="10.44140625" style="78" customWidth="1"/>
    <col min="4860" max="4861" width="11.44140625" style="78"/>
    <col min="4862" max="4862" width="10.33203125" style="78" customWidth="1"/>
    <col min="4863" max="4863" width="9.5546875" style="78" customWidth="1"/>
    <col min="4864" max="4864" width="13.109375" style="78" customWidth="1"/>
    <col min="4865" max="4865" width="9.88671875" style="78" customWidth="1"/>
    <col min="4866" max="4866" width="9.109375" style="78" customWidth="1"/>
    <col min="4867" max="4868" width="13.88671875" style="78" customWidth="1"/>
    <col min="4869" max="4869" width="10.5546875" style="78" customWidth="1"/>
    <col min="4870" max="4870" width="15.109375" style="78" customWidth="1"/>
    <col min="4871" max="4871" width="20.44140625" style="78" customWidth="1"/>
    <col min="4872" max="5113" width="11.44140625" style="78"/>
    <col min="5114" max="5114" width="30.33203125" style="78" customWidth="1"/>
    <col min="5115" max="5115" width="10.44140625" style="78" customWidth="1"/>
    <col min="5116" max="5117" width="11.44140625" style="78"/>
    <col min="5118" max="5118" width="10.33203125" style="78" customWidth="1"/>
    <col min="5119" max="5119" width="9.5546875" style="78" customWidth="1"/>
    <col min="5120" max="5120" width="13.109375" style="78" customWidth="1"/>
    <col min="5121" max="5121" width="9.88671875" style="78" customWidth="1"/>
    <col min="5122" max="5122" width="9.109375" style="78" customWidth="1"/>
    <col min="5123" max="5124" width="13.88671875" style="78" customWidth="1"/>
    <col min="5125" max="5125" width="10.5546875" style="78" customWidth="1"/>
    <col min="5126" max="5126" width="15.109375" style="78" customWidth="1"/>
    <col min="5127" max="5127" width="20.44140625" style="78" customWidth="1"/>
    <col min="5128" max="5369" width="11.44140625" style="78"/>
    <col min="5370" max="5370" width="30.33203125" style="78" customWidth="1"/>
    <col min="5371" max="5371" width="10.44140625" style="78" customWidth="1"/>
    <col min="5372" max="5373" width="11.44140625" style="78"/>
    <col min="5374" max="5374" width="10.33203125" style="78" customWidth="1"/>
    <col min="5375" max="5375" width="9.5546875" style="78" customWidth="1"/>
    <col min="5376" max="5376" width="13.109375" style="78" customWidth="1"/>
    <col min="5377" max="5377" width="9.88671875" style="78" customWidth="1"/>
    <col min="5378" max="5378" width="9.109375" style="78" customWidth="1"/>
    <col min="5379" max="5380" width="13.88671875" style="78" customWidth="1"/>
    <col min="5381" max="5381" width="10.5546875" style="78" customWidth="1"/>
    <col min="5382" max="5382" width="15.109375" style="78" customWidth="1"/>
    <col min="5383" max="5383" width="20.44140625" style="78" customWidth="1"/>
    <col min="5384" max="5625" width="11.44140625" style="78"/>
    <col min="5626" max="5626" width="30.33203125" style="78" customWidth="1"/>
    <col min="5627" max="5627" width="10.44140625" style="78" customWidth="1"/>
    <col min="5628" max="5629" width="11.44140625" style="78"/>
    <col min="5630" max="5630" width="10.33203125" style="78" customWidth="1"/>
    <col min="5631" max="5631" width="9.5546875" style="78" customWidth="1"/>
    <col min="5632" max="5632" width="13.109375" style="78" customWidth="1"/>
    <col min="5633" max="5633" width="9.88671875" style="78" customWidth="1"/>
    <col min="5634" max="5634" width="9.109375" style="78" customWidth="1"/>
    <col min="5635" max="5636" width="13.88671875" style="78" customWidth="1"/>
    <col min="5637" max="5637" width="10.5546875" style="78" customWidth="1"/>
    <col min="5638" max="5638" width="15.109375" style="78" customWidth="1"/>
    <col min="5639" max="5639" width="20.44140625" style="78" customWidth="1"/>
    <col min="5640" max="5881" width="11.44140625" style="78"/>
    <col min="5882" max="5882" width="30.33203125" style="78" customWidth="1"/>
    <col min="5883" max="5883" width="10.44140625" style="78" customWidth="1"/>
    <col min="5884" max="5885" width="11.44140625" style="78"/>
    <col min="5886" max="5886" width="10.33203125" style="78" customWidth="1"/>
    <col min="5887" max="5887" width="9.5546875" style="78" customWidth="1"/>
    <col min="5888" max="5888" width="13.109375" style="78" customWidth="1"/>
    <col min="5889" max="5889" width="9.88671875" style="78" customWidth="1"/>
    <col min="5890" max="5890" width="9.109375" style="78" customWidth="1"/>
    <col min="5891" max="5892" width="13.88671875" style="78" customWidth="1"/>
    <col min="5893" max="5893" width="10.5546875" style="78" customWidth="1"/>
    <col min="5894" max="5894" width="15.109375" style="78" customWidth="1"/>
    <col min="5895" max="5895" width="20.44140625" style="78" customWidth="1"/>
    <col min="5896" max="6137" width="11.44140625" style="78"/>
    <col min="6138" max="6138" width="30.33203125" style="78" customWidth="1"/>
    <col min="6139" max="6139" width="10.44140625" style="78" customWidth="1"/>
    <col min="6140" max="6141" width="11.44140625" style="78"/>
    <col min="6142" max="6142" width="10.33203125" style="78" customWidth="1"/>
    <col min="6143" max="6143" width="9.5546875" style="78" customWidth="1"/>
    <col min="6144" max="6144" width="13.109375" style="78" customWidth="1"/>
    <col min="6145" max="6145" width="9.88671875" style="78" customWidth="1"/>
    <col min="6146" max="6146" width="9.109375" style="78" customWidth="1"/>
    <col min="6147" max="6148" width="13.88671875" style="78" customWidth="1"/>
    <col min="6149" max="6149" width="10.5546875" style="78" customWidth="1"/>
    <col min="6150" max="6150" width="15.109375" style="78" customWidth="1"/>
    <col min="6151" max="6151" width="20.44140625" style="78" customWidth="1"/>
    <col min="6152" max="6393" width="11.44140625" style="78"/>
    <col min="6394" max="6394" width="30.33203125" style="78" customWidth="1"/>
    <col min="6395" max="6395" width="10.44140625" style="78" customWidth="1"/>
    <col min="6396" max="6397" width="11.44140625" style="78"/>
    <col min="6398" max="6398" width="10.33203125" style="78" customWidth="1"/>
    <col min="6399" max="6399" width="9.5546875" style="78" customWidth="1"/>
    <col min="6400" max="6400" width="13.109375" style="78" customWidth="1"/>
    <col min="6401" max="6401" width="9.88671875" style="78" customWidth="1"/>
    <col min="6402" max="6402" width="9.109375" style="78" customWidth="1"/>
    <col min="6403" max="6404" width="13.88671875" style="78" customWidth="1"/>
    <col min="6405" max="6405" width="10.5546875" style="78" customWidth="1"/>
    <col min="6406" max="6406" width="15.109375" style="78" customWidth="1"/>
    <col min="6407" max="6407" width="20.44140625" style="78" customWidth="1"/>
    <col min="6408" max="6649" width="11.44140625" style="78"/>
    <col min="6650" max="6650" width="30.33203125" style="78" customWidth="1"/>
    <col min="6651" max="6651" width="10.44140625" style="78" customWidth="1"/>
    <col min="6652" max="6653" width="11.44140625" style="78"/>
    <col min="6654" max="6654" width="10.33203125" style="78" customWidth="1"/>
    <col min="6655" max="6655" width="9.5546875" style="78" customWidth="1"/>
    <col min="6656" max="6656" width="13.109375" style="78" customWidth="1"/>
    <col min="6657" max="6657" width="9.88671875" style="78" customWidth="1"/>
    <col min="6658" max="6658" width="9.109375" style="78" customWidth="1"/>
    <col min="6659" max="6660" width="13.88671875" style="78" customWidth="1"/>
    <col min="6661" max="6661" width="10.5546875" style="78" customWidth="1"/>
    <col min="6662" max="6662" width="15.109375" style="78" customWidth="1"/>
    <col min="6663" max="6663" width="20.44140625" style="78" customWidth="1"/>
    <col min="6664" max="6905" width="11.44140625" style="78"/>
    <col min="6906" max="6906" width="30.33203125" style="78" customWidth="1"/>
    <col min="6907" max="6907" width="10.44140625" style="78" customWidth="1"/>
    <col min="6908" max="6909" width="11.44140625" style="78"/>
    <col min="6910" max="6910" width="10.33203125" style="78" customWidth="1"/>
    <col min="6911" max="6911" width="9.5546875" style="78" customWidth="1"/>
    <col min="6912" max="6912" width="13.109375" style="78" customWidth="1"/>
    <col min="6913" max="6913" width="9.88671875" style="78" customWidth="1"/>
    <col min="6914" max="6914" width="9.109375" style="78" customWidth="1"/>
    <col min="6915" max="6916" width="13.88671875" style="78" customWidth="1"/>
    <col min="6917" max="6917" width="10.5546875" style="78" customWidth="1"/>
    <col min="6918" max="6918" width="15.109375" style="78" customWidth="1"/>
    <col min="6919" max="6919" width="20.44140625" style="78" customWidth="1"/>
    <col min="6920" max="7161" width="11.44140625" style="78"/>
    <col min="7162" max="7162" width="30.33203125" style="78" customWidth="1"/>
    <col min="7163" max="7163" width="10.44140625" style="78" customWidth="1"/>
    <col min="7164" max="7165" width="11.44140625" style="78"/>
    <col min="7166" max="7166" width="10.33203125" style="78" customWidth="1"/>
    <col min="7167" max="7167" width="9.5546875" style="78" customWidth="1"/>
    <col min="7168" max="7168" width="13.109375" style="78" customWidth="1"/>
    <col min="7169" max="7169" width="9.88671875" style="78" customWidth="1"/>
    <col min="7170" max="7170" width="9.109375" style="78" customWidth="1"/>
    <col min="7171" max="7172" width="13.88671875" style="78" customWidth="1"/>
    <col min="7173" max="7173" width="10.5546875" style="78" customWidth="1"/>
    <col min="7174" max="7174" width="15.109375" style="78" customWidth="1"/>
    <col min="7175" max="7175" width="20.44140625" style="78" customWidth="1"/>
    <col min="7176" max="7417" width="11.44140625" style="78"/>
    <col min="7418" max="7418" width="30.33203125" style="78" customWidth="1"/>
    <col min="7419" max="7419" width="10.44140625" style="78" customWidth="1"/>
    <col min="7420" max="7421" width="11.44140625" style="78"/>
    <col min="7422" max="7422" width="10.33203125" style="78" customWidth="1"/>
    <col min="7423" max="7423" width="9.5546875" style="78" customWidth="1"/>
    <col min="7424" max="7424" width="13.109375" style="78" customWidth="1"/>
    <col min="7425" max="7425" width="9.88671875" style="78" customWidth="1"/>
    <col min="7426" max="7426" width="9.109375" style="78" customWidth="1"/>
    <col min="7427" max="7428" width="13.88671875" style="78" customWidth="1"/>
    <col min="7429" max="7429" width="10.5546875" style="78" customWidth="1"/>
    <col min="7430" max="7430" width="15.109375" style="78" customWidth="1"/>
    <col min="7431" max="7431" width="20.44140625" style="78" customWidth="1"/>
    <col min="7432" max="7673" width="11.44140625" style="78"/>
    <col min="7674" max="7674" width="30.33203125" style="78" customWidth="1"/>
    <col min="7675" max="7675" width="10.44140625" style="78" customWidth="1"/>
    <col min="7676" max="7677" width="11.44140625" style="78"/>
    <col min="7678" max="7678" width="10.33203125" style="78" customWidth="1"/>
    <col min="7679" max="7679" width="9.5546875" style="78" customWidth="1"/>
    <col min="7680" max="7680" width="13.109375" style="78" customWidth="1"/>
    <col min="7681" max="7681" width="9.88671875" style="78" customWidth="1"/>
    <col min="7682" max="7682" width="9.109375" style="78" customWidth="1"/>
    <col min="7683" max="7684" width="13.88671875" style="78" customWidth="1"/>
    <col min="7685" max="7685" width="10.5546875" style="78" customWidth="1"/>
    <col min="7686" max="7686" width="15.109375" style="78" customWidth="1"/>
    <col min="7687" max="7687" width="20.44140625" style="78" customWidth="1"/>
    <col min="7688" max="7929" width="11.44140625" style="78"/>
    <col min="7930" max="7930" width="30.33203125" style="78" customWidth="1"/>
    <col min="7931" max="7931" width="10.44140625" style="78" customWidth="1"/>
    <col min="7932" max="7933" width="11.44140625" style="78"/>
    <col min="7934" max="7934" width="10.33203125" style="78" customWidth="1"/>
    <col min="7935" max="7935" width="9.5546875" style="78" customWidth="1"/>
    <col min="7936" max="7936" width="13.109375" style="78" customWidth="1"/>
    <col min="7937" max="7937" width="9.88671875" style="78" customWidth="1"/>
    <col min="7938" max="7938" width="9.109375" style="78" customWidth="1"/>
    <col min="7939" max="7940" width="13.88671875" style="78" customWidth="1"/>
    <col min="7941" max="7941" width="10.5546875" style="78" customWidth="1"/>
    <col min="7942" max="7942" width="15.109375" style="78" customWidth="1"/>
    <col min="7943" max="7943" width="20.44140625" style="78" customWidth="1"/>
    <col min="7944" max="8185" width="11.44140625" style="78"/>
    <col min="8186" max="8186" width="30.33203125" style="78" customWidth="1"/>
    <col min="8187" max="8187" width="10.44140625" style="78" customWidth="1"/>
    <col min="8188" max="8189" width="11.44140625" style="78"/>
    <col min="8190" max="8190" width="10.33203125" style="78" customWidth="1"/>
    <col min="8191" max="8191" width="9.5546875" style="78" customWidth="1"/>
    <col min="8192" max="8192" width="13.109375" style="78" customWidth="1"/>
    <col min="8193" max="8193" width="9.88671875" style="78" customWidth="1"/>
    <col min="8194" max="8194" width="9.109375" style="78" customWidth="1"/>
    <col min="8195" max="8196" width="13.88671875" style="78" customWidth="1"/>
    <col min="8197" max="8197" width="10.5546875" style="78" customWidth="1"/>
    <col min="8198" max="8198" width="15.109375" style="78" customWidth="1"/>
    <col min="8199" max="8199" width="20.44140625" style="78" customWidth="1"/>
    <col min="8200" max="8441" width="11.44140625" style="78"/>
    <col min="8442" max="8442" width="30.33203125" style="78" customWidth="1"/>
    <col min="8443" max="8443" width="10.44140625" style="78" customWidth="1"/>
    <col min="8444" max="8445" width="11.44140625" style="78"/>
    <col min="8446" max="8446" width="10.33203125" style="78" customWidth="1"/>
    <col min="8447" max="8447" width="9.5546875" style="78" customWidth="1"/>
    <col min="8448" max="8448" width="13.109375" style="78" customWidth="1"/>
    <col min="8449" max="8449" width="9.88671875" style="78" customWidth="1"/>
    <col min="8450" max="8450" width="9.109375" style="78" customWidth="1"/>
    <col min="8451" max="8452" width="13.88671875" style="78" customWidth="1"/>
    <col min="8453" max="8453" width="10.5546875" style="78" customWidth="1"/>
    <col min="8454" max="8454" width="15.109375" style="78" customWidth="1"/>
    <col min="8455" max="8455" width="20.44140625" style="78" customWidth="1"/>
    <col min="8456" max="8697" width="11.44140625" style="78"/>
    <col min="8698" max="8698" width="30.33203125" style="78" customWidth="1"/>
    <col min="8699" max="8699" width="10.44140625" style="78" customWidth="1"/>
    <col min="8700" max="8701" width="11.44140625" style="78"/>
    <col min="8702" max="8702" width="10.33203125" style="78" customWidth="1"/>
    <col min="8703" max="8703" width="9.5546875" style="78" customWidth="1"/>
    <col min="8704" max="8704" width="13.109375" style="78" customWidth="1"/>
    <col min="8705" max="8705" width="9.88671875" style="78" customWidth="1"/>
    <col min="8706" max="8706" width="9.109375" style="78" customWidth="1"/>
    <col min="8707" max="8708" width="13.88671875" style="78" customWidth="1"/>
    <col min="8709" max="8709" width="10.5546875" style="78" customWidth="1"/>
    <col min="8710" max="8710" width="15.109375" style="78" customWidth="1"/>
    <col min="8711" max="8711" width="20.44140625" style="78" customWidth="1"/>
    <col min="8712" max="8953" width="11.44140625" style="78"/>
    <col min="8954" max="8954" width="30.33203125" style="78" customWidth="1"/>
    <col min="8955" max="8955" width="10.44140625" style="78" customWidth="1"/>
    <col min="8956" max="8957" width="11.44140625" style="78"/>
    <col min="8958" max="8958" width="10.33203125" style="78" customWidth="1"/>
    <col min="8959" max="8959" width="9.5546875" style="78" customWidth="1"/>
    <col min="8960" max="8960" width="13.109375" style="78" customWidth="1"/>
    <col min="8961" max="8961" width="9.88671875" style="78" customWidth="1"/>
    <col min="8962" max="8962" width="9.109375" style="78" customWidth="1"/>
    <col min="8963" max="8964" width="13.88671875" style="78" customWidth="1"/>
    <col min="8965" max="8965" width="10.5546875" style="78" customWidth="1"/>
    <col min="8966" max="8966" width="15.109375" style="78" customWidth="1"/>
    <col min="8967" max="8967" width="20.44140625" style="78" customWidth="1"/>
    <col min="8968" max="9209" width="11.44140625" style="78"/>
    <col min="9210" max="9210" width="30.33203125" style="78" customWidth="1"/>
    <col min="9211" max="9211" width="10.44140625" style="78" customWidth="1"/>
    <col min="9212" max="9213" width="11.44140625" style="78"/>
    <col min="9214" max="9214" width="10.33203125" style="78" customWidth="1"/>
    <col min="9215" max="9215" width="9.5546875" style="78" customWidth="1"/>
    <col min="9216" max="9216" width="13.109375" style="78" customWidth="1"/>
    <col min="9217" max="9217" width="9.88671875" style="78" customWidth="1"/>
    <col min="9218" max="9218" width="9.109375" style="78" customWidth="1"/>
    <col min="9219" max="9220" width="13.88671875" style="78" customWidth="1"/>
    <col min="9221" max="9221" width="10.5546875" style="78" customWidth="1"/>
    <col min="9222" max="9222" width="15.109375" style="78" customWidth="1"/>
    <col min="9223" max="9223" width="20.44140625" style="78" customWidth="1"/>
    <col min="9224" max="9465" width="11.44140625" style="78"/>
    <col min="9466" max="9466" width="30.33203125" style="78" customWidth="1"/>
    <col min="9467" max="9467" width="10.44140625" style="78" customWidth="1"/>
    <col min="9468" max="9469" width="11.44140625" style="78"/>
    <col min="9470" max="9470" width="10.33203125" style="78" customWidth="1"/>
    <col min="9471" max="9471" width="9.5546875" style="78" customWidth="1"/>
    <col min="9472" max="9472" width="13.109375" style="78" customWidth="1"/>
    <col min="9473" max="9473" width="9.88671875" style="78" customWidth="1"/>
    <col min="9474" max="9474" width="9.109375" style="78" customWidth="1"/>
    <col min="9475" max="9476" width="13.88671875" style="78" customWidth="1"/>
    <col min="9477" max="9477" width="10.5546875" style="78" customWidth="1"/>
    <col min="9478" max="9478" width="15.109375" style="78" customWidth="1"/>
    <col min="9479" max="9479" width="20.44140625" style="78" customWidth="1"/>
    <col min="9480" max="9721" width="11.44140625" style="78"/>
    <col min="9722" max="9722" width="30.33203125" style="78" customWidth="1"/>
    <col min="9723" max="9723" width="10.44140625" style="78" customWidth="1"/>
    <col min="9724" max="9725" width="11.44140625" style="78"/>
    <col min="9726" max="9726" width="10.33203125" style="78" customWidth="1"/>
    <col min="9727" max="9727" width="9.5546875" style="78" customWidth="1"/>
    <col min="9728" max="9728" width="13.109375" style="78" customWidth="1"/>
    <col min="9729" max="9729" width="9.88671875" style="78" customWidth="1"/>
    <col min="9730" max="9730" width="9.109375" style="78" customWidth="1"/>
    <col min="9731" max="9732" width="13.88671875" style="78" customWidth="1"/>
    <col min="9733" max="9733" width="10.5546875" style="78" customWidth="1"/>
    <col min="9734" max="9734" width="15.109375" style="78" customWidth="1"/>
    <col min="9735" max="9735" width="20.44140625" style="78" customWidth="1"/>
    <col min="9736" max="9977" width="11.44140625" style="78"/>
    <col min="9978" max="9978" width="30.33203125" style="78" customWidth="1"/>
    <col min="9979" max="9979" width="10.44140625" style="78" customWidth="1"/>
    <col min="9980" max="9981" width="11.44140625" style="78"/>
    <col min="9982" max="9982" width="10.33203125" style="78" customWidth="1"/>
    <col min="9983" max="9983" width="9.5546875" style="78" customWidth="1"/>
    <col min="9984" max="9984" width="13.109375" style="78" customWidth="1"/>
    <col min="9985" max="9985" width="9.88671875" style="78" customWidth="1"/>
    <col min="9986" max="9986" width="9.109375" style="78" customWidth="1"/>
    <col min="9987" max="9988" width="13.88671875" style="78" customWidth="1"/>
    <col min="9989" max="9989" width="10.5546875" style="78" customWidth="1"/>
    <col min="9990" max="9990" width="15.109375" style="78" customWidth="1"/>
    <col min="9991" max="9991" width="20.44140625" style="78" customWidth="1"/>
    <col min="9992" max="10233" width="11.44140625" style="78"/>
    <col min="10234" max="10234" width="30.33203125" style="78" customWidth="1"/>
    <col min="10235" max="10235" width="10.44140625" style="78" customWidth="1"/>
    <col min="10236" max="10237" width="11.44140625" style="78"/>
    <col min="10238" max="10238" width="10.33203125" style="78" customWidth="1"/>
    <col min="10239" max="10239" width="9.5546875" style="78" customWidth="1"/>
    <col min="10240" max="10240" width="13.109375" style="78" customWidth="1"/>
    <col min="10241" max="10241" width="9.88671875" style="78" customWidth="1"/>
    <col min="10242" max="10242" width="9.109375" style="78" customWidth="1"/>
    <col min="10243" max="10244" width="13.88671875" style="78" customWidth="1"/>
    <col min="10245" max="10245" width="10.5546875" style="78" customWidth="1"/>
    <col min="10246" max="10246" width="15.109375" style="78" customWidth="1"/>
    <col min="10247" max="10247" width="20.44140625" style="78" customWidth="1"/>
    <col min="10248" max="10489" width="11.44140625" style="78"/>
    <col min="10490" max="10490" width="30.33203125" style="78" customWidth="1"/>
    <col min="10491" max="10491" width="10.44140625" style="78" customWidth="1"/>
    <col min="10492" max="10493" width="11.44140625" style="78"/>
    <col min="10494" max="10494" width="10.33203125" style="78" customWidth="1"/>
    <col min="10495" max="10495" width="9.5546875" style="78" customWidth="1"/>
    <col min="10496" max="10496" width="13.109375" style="78" customWidth="1"/>
    <col min="10497" max="10497" width="9.88671875" style="78" customWidth="1"/>
    <col min="10498" max="10498" width="9.109375" style="78" customWidth="1"/>
    <col min="10499" max="10500" width="13.88671875" style="78" customWidth="1"/>
    <col min="10501" max="10501" width="10.5546875" style="78" customWidth="1"/>
    <col min="10502" max="10502" width="15.109375" style="78" customWidth="1"/>
    <col min="10503" max="10503" width="20.44140625" style="78" customWidth="1"/>
    <col min="10504" max="10745" width="11.44140625" style="78"/>
    <col min="10746" max="10746" width="30.33203125" style="78" customWidth="1"/>
    <col min="10747" max="10747" width="10.44140625" style="78" customWidth="1"/>
    <col min="10748" max="10749" width="11.44140625" style="78"/>
    <col min="10750" max="10750" width="10.33203125" style="78" customWidth="1"/>
    <col min="10751" max="10751" width="9.5546875" style="78" customWidth="1"/>
    <col min="10752" max="10752" width="13.109375" style="78" customWidth="1"/>
    <col min="10753" max="10753" width="9.88671875" style="78" customWidth="1"/>
    <col min="10754" max="10754" width="9.109375" style="78" customWidth="1"/>
    <col min="10755" max="10756" width="13.88671875" style="78" customWidth="1"/>
    <col min="10757" max="10757" width="10.5546875" style="78" customWidth="1"/>
    <col min="10758" max="10758" width="15.109375" style="78" customWidth="1"/>
    <col min="10759" max="10759" width="20.44140625" style="78" customWidth="1"/>
    <col min="10760" max="11001" width="11.44140625" style="78"/>
    <col min="11002" max="11002" width="30.33203125" style="78" customWidth="1"/>
    <col min="11003" max="11003" width="10.44140625" style="78" customWidth="1"/>
    <col min="11004" max="11005" width="11.44140625" style="78"/>
    <col min="11006" max="11006" width="10.33203125" style="78" customWidth="1"/>
    <col min="11007" max="11007" width="9.5546875" style="78" customWidth="1"/>
    <col min="11008" max="11008" width="13.109375" style="78" customWidth="1"/>
    <col min="11009" max="11009" width="9.88671875" style="78" customWidth="1"/>
    <col min="11010" max="11010" width="9.109375" style="78" customWidth="1"/>
    <col min="11011" max="11012" width="13.88671875" style="78" customWidth="1"/>
    <col min="11013" max="11013" width="10.5546875" style="78" customWidth="1"/>
    <col min="11014" max="11014" width="15.109375" style="78" customWidth="1"/>
    <col min="11015" max="11015" width="20.44140625" style="78" customWidth="1"/>
    <col min="11016" max="11257" width="11.44140625" style="78"/>
    <col min="11258" max="11258" width="30.33203125" style="78" customWidth="1"/>
    <col min="11259" max="11259" width="10.44140625" style="78" customWidth="1"/>
    <col min="11260" max="11261" width="11.44140625" style="78"/>
    <col min="11262" max="11262" width="10.33203125" style="78" customWidth="1"/>
    <col min="11263" max="11263" width="9.5546875" style="78" customWidth="1"/>
    <col min="11264" max="11264" width="13.109375" style="78" customWidth="1"/>
    <col min="11265" max="11265" width="9.88671875" style="78" customWidth="1"/>
    <col min="11266" max="11266" width="9.109375" style="78" customWidth="1"/>
    <col min="11267" max="11268" width="13.88671875" style="78" customWidth="1"/>
    <col min="11269" max="11269" width="10.5546875" style="78" customWidth="1"/>
    <col min="11270" max="11270" width="15.109375" style="78" customWidth="1"/>
    <col min="11271" max="11271" width="20.44140625" style="78" customWidth="1"/>
    <col min="11272" max="11513" width="11.44140625" style="78"/>
    <col min="11514" max="11514" width="30.33203125" style="78" customWidth="1"/>
    <col min="11515" max="11515" width="10.44140625" style="78" customWidth="1"/>
    <col min="11516" max="11517" width="11.44140625" style="78"/>
    <col min="11518" max="11518" width="10.33203125" style="78" customWidth="1"/>
    <col min="11519" max="11519" width="9.5546875" style="78" customWidth="1"/>
    <col min="11520" max="11520" width="13.109375" style="78" customWidth="1"/>
    <col min="11521" max="11521" width="9.88671875" style="78" customWidth="1"/>
    <col min="11522" max="11522" width="9.109375" style="78" customWidth="1"/>
    <col min="11523" max="11524" width="13.88671875" style="78" customWidth="1"/>
    <col min="11525" max="11525" width="10.5546875" style="78" customWidth="1"/>
    <col min="11526" max="11526" width="15.109375" style="78" customWidth="1"/>
    <col min="11527" max="11527" width="20.44140625" style="78" customWidth="1"/>
    <col min="11528" max="11769" width="11.44140625" style="78"/>
    <col min="11770" max="11770" width="30.33203125" style="78" customWidth="1"/>
    <col min="11771" max="11771" width="10.44140625" style="78" customWidth="1"/>
    <col min="11772" max="11773" width="11.44140625" style="78"/>
    <col min="11774" max="11774" width="10.33203125" style="78" customWidth="1"/>
    <col min="11775" max="11775" width="9.5546875" style="78" customWidth="1"/>
    <col min="11776" max="11776" width="13.109375" style="78" customWidth="1"/>
    <col min="11777" max="11777" width="9.88671875" style="78" customWidth="1"/>
    <col min="11778" max="11778" width="9.109375" style="78" customWidth="1"/>
    <col min="11779" max="11780" width="13.88671875" style="78" customWidth="1"/>
    <col min="11781" max="11781" width="10.5546875" style="78" customWidth="1"/>
    <col min="11782" max="11782" width="15.109375" style="78" customWidth="1"/>
    <col min="11783" max="11783" width="20.44140625" style="78" customWidth="1"/>
    <col min="11784" max="12025" width="11.44140625" style="78"/>
    <col min="12026" max="12026" width="30.33203125" style="78" customWidth="1"/>
    <col min="12027" max="12027" width="10.44140625" style="78" customWidth="1"/>
    <col min="12028" max="12029" width="11.44140625" style="78"/>
    <col min="12030" max="12030" width="10.33203125" style="78" customWidth="1"/>
    <col min="12031" max="12031" width="9.5546875" style="78" customWidth="1"/>
    <col min="12032" max="12032" width="13.109375" style="78" customWidth="1"/>
    <col min="12033" max="12033" width="9.88671875" style="78" customWidth="1"/>
    <col min="12034" max="12034" width="9.109375" style="78" customWidth="1"/>
    <col min="12035" max="12036" width="13.88671875" style="78" customWidth="1"/>
    <col min="12037" max="12037" width="10.5546875" style="78" customWidth="1"/>
    <col min="12038" max="12038" width="15.109375" style="78" customWidth="1"/>
    <col min="12039" max="12039" width="20.44140625" style="78" customWidth="1"/>
    <col min="12040" max="12281" width="11.44140625" style="78"/>
    <col min="12282" max="12282" width="30.33203125" style="78" customWidth="1"/>
    <col min="12283" max="12283" width="10.44140625" style="78" customWidth="1"/>
    <col min="12284" max="12285" width="11.44140625" style="78"/>
    <col min="12286" max="12286" width="10.33203125" style="78" customWidth="1"/>
    <col min="12287" max="12287" width="9.5546875" style="78" customWidth="1"/>
    <col min="12288" max="12288" width="13.109375" style="78" customWidth="1"/>
    <col min="12289" max="12289" width="9.88671875" style="78" customWidth="1"/>
    <col min="12290" max="12290" width="9.109375" style="78" customWidth="1"/>
    <col min="12291" max="12292" width="13.88671875" style="78" customWidth="1"/>
    <col min="12293" max="12293" width="10.5546875" style="78" customWidth="1"/>
    <col min="12294" max="12294" width="15.109375" style="78" customWidth="1"/>
    <col min="12295" max="12295" width="20.44140625" style="78" customWidth="1"/>
    <col min="12296" max="12537" width="11.44140625" style="78"/>
    <col min="12538" max="12538" width="30.33203125" style="78" customWidth="1"/>
    <col min="12539" max="12539" width="10.44140625" style="78" customWidth="1"/>
    <col min="12540" max="12541" width="11.44140625" style="78"/>
    <col min="12542" max="12542" width="10.33203125" style="78" customWidth="1"/>
    <col min="12543" max="12543" width="9.5546875" style="78" customWidth="1"/>
    <col min="12544" max="12544" width="13.109375" style="78" customWidth="1"/>
    <col min="12545" max="12545" width="9.88671875" style="78" customWidth="1"/>
    <col min="12546" max="12546" width="9.109375" style="78" customWidth="1"/>
    <col min="12547" max="12548" width="13.88671875" style="78" customWidth="1"/>
    <col min="12549" max="12549" width="10.5546875" style="78" customWidth="1"/>
    <col min="12550" max="12550" width="15.109375" style="78" customWidth="1"/>
    <col min="12551" max="12551" width="20.44140625" style="78" customWidth="1"/>
    <col min="12552" max="12793" width="11.44140625" style="78"/>
    <col min="12794" max="12794" width="30.33203125" style="78" customWidth="1"/>
    <col min="12795" max="12795" width="10.44140625" style="78" customWidth="1"/>
    <col min="12796" max="12797" width="11.44140625" style="78"/>
    <col min="12798" max="12798" width="10.33203125" style="78" customWidth="1"/>
    <col min="12799" max="12799" width="9.5546875" style="78" customWidth="1"/>
    <col min="12800" max="12800" width="13.109375" style="78" customWidth="1"/>
    <col min="12801" max="12801" width="9.88671875" style="78" customWidth="1"/>
    <col min="12802" max="12802" width="9.109375" style="78" customWidth="1"/>
    <col min="12803" max="12804" width="13.88671875" style="78" customWidth="1"/>
    <col min="12805" max="12805" width="10.5546875" style="78" customWidth="1"/>
    <col min="12806" max="12806" width="15.109375" style="78" customWidth="1"/>
    <col min="12807" max="12807" width="20.44140625" style="78" customWidth="1"/>
    <col min="12808" max="13049" width="11.44140625" style="78"/>
    <col min="13050" max="13050" width="30.33203125" style="78" customWidth="1"/>
    <col min="13051" max="13051" width="10.44140625" style="78" customWidth="1"/>
    <col min="13052" max="13053" width="11.44140625" style="78"/>
    <col min="13054" max="13054" width="10.33203125" style="78" customWidth="1"/>
    <col min="13055" max="13055" width="9.5546875" style="78" customWidth="1"/>
    <col min="13056" max="13056" width="13.109375" style="78" customWidth="1"/>
    <col min="13057" max="13057" width="9.88671875" style="78" customWidth="1"/>
    <col min="13058" max="13058" width="9.109375" style="78" customWidth="1"/>
    <col min="13059" max="13060" width="13.88671875" style="78" customWidth="1"/>
    <col min="13061" max="13061" width="10.5546875" style="78" customWidth="1"/>
    <col min="13062" max="13062" width="15.109375" style="78" customWidth="1"/>
    <col min="13063" max="13063" width="20.44140625" style="78" customWidth="1"/>
    <col min="13064" max="13305" width="11.44140625" style="78"/>
    <col min="13306" max="13306" width="30.33203125" style="78" customWidth="1"/>
    <col min="13307" max="13307" width="10.44140625" style="78" customWidth="1"/>
    <col min="13308" max="13309" width="11.44140625" style="78"/>
    <col min="13310" max="13310" width="10.33203125" style="78" customWidth="1"/>
    <col min="13311" max="13311" width="9.5546875" style="78" customWidth="1"/>
    <col min="13312" max="13312" width="13.109375" style="78" customWidth="1"/>
    <col min="13313" max="13313" width="9.88671875" style="78" customWidth="1"/>
    <col min="13314" max="13314" width="9.109375" style="78" customWidth="1"/>
    <col min="13315" max="13316" width="13.88671875" style="78" customWidth="1"/>
    <col min="13317" max="13317" width="10.5546875" style="78" customWidth="1"/>
    <col min="13318" max="13318" width="15.109375" style="78" customWidth="1"/>
    <col min="13319" max="13319" width="20.44140625" style="78" customWidth="1"/>
    <col min="13320" max="13561" width="11.44140625" style="78"/>
    <col min="13562" max="13562" width="30.33203125" style="78" customWidth="1"/>
    <col min="13563" max="13563" width="10.44140625" style="78" customWidth="1"/>
    <col min="13564" max="13565" width="11.44140625" style="78"/>
    <col min="13566" max="13566" width="10.33203125" style="78" customWidth="1"/>
    <col min="13567" max="13567" width="9.5546875" style="78" customWidth="1"/>
    <col min="13568" max="13568" width="13.109375" style="78" customWidth="1"/>
    <col min="13569" max="13569" width="9.88671875" style="78" customWidth="1"/>
    <col min="13570" max="13570" width="9.109375" style="78" customWidth="1"/>
    <col min="13571" max="13572" width="13.88671875" style="78" customWidth="1"/>
    <col min="13573" max="13573" width="10.5546875" style="78" customWidth="1"/>
    <col min="13574" max="13574" width="15.109375" style="78" customWidth="1"/>
    <col min="13575" max="13575" width="20.44140625" style="78" customWidth="1"/>
    <col min="13576" max="13817" width="11.44140625" style="78"/>
    <col min="13818" max="13818" width="30.33203125" style="78" customWidth="1"/>
    <col min="13819" max="13819" width="10.44140625" style="78" customWidth="1"/>
    <col min="13820" max="13821" width="11.44140625" style="78"/>
    <col min="13822" max="13822" width="10.33203125" style="78" customWidth="1"/>
    <col min="13823" max="13823" width="9.5546875" style="78" customWidth="1"/>
    <col min="13824" max="13824" width="13.109375" style="78" customWidth="1"/>
    <col min="13825" max="13825" width="9.88671875" style="78" customWidth="1"/>
    <col min="13826" max="13826" width="9.109375" style="78" customWidth="1"/>
    <col min="13827" max="13828" width="13.88671875" style="78" customWidth="1"/>
    <col min="13829" max="13829" width="10.5546875" style="78" customWidth="1"/>
    <col min="13830" max="13830" width="15.109375" style="78" customWidth="1"/>
    <col min="13831" max="13831" width="20.44140625" style="78" customWidth="1"/>
    <col min="13832" max="14073" width="11.44140625" style="78"/>
    <col min="14074" max="14074" width="30.33203125" style="78" customWidth="1"/>
    <col min="14075" max="14075" width="10.44140625" style="78" customWidth="1"/>
    <col min="14076" max="14077" width="11.44140625" style="78"/>
    <col min="14078" max="14078" width="10.33203125" style="78" customWidth="1"/>
    <col min="14079" max="14079" width="9.5546875" style="78" customWidth="1"/>
    <col min="14080" max="14080" width="13.109375" style="78" customWidth="1"/>
    <col min="14081" max="14081" width="9.88671875" style="78" customWidth="1"/>
    <col min="14082" max="14082" width="9.109375" style="78" customWidth="1"/>
    <col min="14083" max="14084" width="13.88671875" style="78" customWidth="1"/>
    <col min="14085" max="14085" width="10.5546875" style="78" customWidth="1"/>
    <col min="14086" max="14086" width="15.109375" style="78" customWidth="1"/>
    <col min="14087" max="14087" width="20.44140625" style="78" customWidth="1"/>
    <col min="14088" max="14329" width="11.44140625" style="78"/>
    <col min="14330" max="14330" width="30.33203125" style="78" customWidth="1"/>
    <col min="14331" max="14331" width="10.44140625" style="78" customWidth="1"/>
    <col min="14332" max="14333" width="11.44140625" style="78"/>
    <col min="14334" max="14334" width="10.33203125" style="78" customWidth="1"/>
    <col min="14335" max="14335" width="9.5546875" style="78" customWidth="1"/>
    <col min="14336" max="14336" width="13.109375" style="78" customWidth="1"/>
    <col min="14337" max="14337" width="9.88671875" style="78" customWidth="1"/>
    <col min="14338" max="14338" width="9.109375" style="78" customWidth="1"/>
    <col min="14339" max="14340" width="13.88671875" style="78" customWidth="1"/>
    <col min="14341" max="14341" width="10.5546875" style="78" customWidth="1"/>
    <col min="14342" max="14342" width="15.109375" style="78" customWidth="1"/>
    <col min="14343" max="14343" width="20.44140625" style="78" customWidth="1"/>
    <col min="14344" max="14585" width="11.44140625" style="78"/>
    <col min="14586" max="14586" width="30.33203125" style="78" customWidth="1"/>
    <col min="14587" max="14587" width="10.44140625" style="78" customWidth="1"/>
    <col min="14588" max="14589" width="11.44140625" style="78"/>
    <col min="14590" max="14590" width="10.33203125" style="78" customWidth="1"/>
    <col min="14591" max="14591" width="9.5546875" style="78" customWidth="1"/>
    <col min="14592" max="14592" width="13.109375" style="78" customWidth="1"/>
    <col min="14593" max="14593" width="9.88671875" style="78" customWidth="1"/>
    <col min="14594" max="14594" width="9.109375" style="78" customWidth="1"/>
    <col min="14595" max="14596" width="13.88671875" style="78" customWidth="1"/>
    <col min="14597" max="14597" width="10.5546875" style="78" customWidth="1"/>
    <col min="14598" max="14598" width="15.109375" style="78" customWidth="1"/>
    <col min="14599" max="14599" width="20.44140625" style="78" customWidth="1"/>
    <col min="14600" max="14841" width="11.44140625" style="78"/>
    <col min="14842" max="14842" width="30.33203125" style="78" customWidth="1"/>
    <col min="14843" max="14843" width="10.44140625" style="78" customWidth="1"/>
    <col min="14844" max="14845" width="11.44140625" style="78"/>
    <col min="14846" max="14846" width="10.33203125" style="78" customWidth="1"/>
    <col min="14847" max="14847" width="9.5546875" style="78" customWidth="1"/>
    <col min="14848" max="14848" width="13.109375" style="78" customWidth="1"/>
    <col min="14849" max="14849" width="9.88671875" style="78" customWidth="1"/>
    <col min="14850" max="14850" width="9.109375" style="78" customWidth="1"/>
    <col min="14851" max="14852" width="13.88671875" style="78" customWidth="1"/>
    <col min="14853" max="14853" width="10.5546875" style="78" customWidth="1"/>
    <col min="14854" max="14854" width="15.109375" style="78" customWidth="1"/>
    <col min="14855" max="14855" width="20.44140625" style="78" customWidth="1"/>
    <col min="14856" max="15097" width="11.44140625" style="78"/>
    <col min="15098" max="15098" width="30.33203125" style="78" customWidth="1"/>
    <col min="15099" max="15099" width="10.44140625" style="78" customWidth="1"/>
    <col min="15100" max="15101" width="11.44140625" style="78"/>
    <col min="15102" max="15102" width="10.33203125" style="78" customWidth="1"/>
    <col min="15103" max="15103" width="9.5546875" style="78" customWidth="1"/>
    <col min="15104" max="15104" width="13.109375" style="78" customWidth="1"/>
    <col min="15105" max="15105" width="9.88671875" style="78" customWidth="1"/>
    <col min="15106" max="15106" width="9.109375" style="78" customWidth="1"/>
    <col min="15107" max="15108" width="13.88671875" style="78" customWidth="1"/>
    <col min="15109" max="15109" width="10.5546875" style="78" customWidth="1"/>
    <col min="15110" max="15110" width="15.109375" style="78" customWidth="1"/>
    <col min="15111" max="15111" width="20.44140625" style="78" customWidth="1"/>
    <col min="15112" max="15353" width="11.44140625" style="78"/>
    <col min="15354" max="15354" width="30.33203125" style="78" customWidth="1"/>
    <col min="15355" max="15355" width="10.44140625" style="78" customWidth="1"/>
    <col min="15356" max="15357" width="11.44140625" style="78"/>
    <col min="15358" max="15358" width="10.33203125" style="78" customWidth="1"/>
    <col min="15359" max="15359" width="9.5546875" style="78" customWidth="1"/>
    <col min="15360" max="15360" width="13.109375" style="78" customWidth="1"/>
    <col min="15361" max="15361" width="9.88671875" style="78" customWidth="1"/>
    <col min="15362" max="15362" width="9.109375" style="78" customWidth="1"/>
    <col min="15363" max="15364" width="13.88671875" style="78" customWidth="1"/>
    <col min="15365" max="15365" width="10.5546875" style="78" customWidth="1"/>
    <col min="15366" max="15366" width="15.109375" style="78" customWidth="1"/>
    <col min="15367" max="15367" width="20.44140625" style="78" customWidth="1"/>
    <col min="15368" max="15609" width="11.44140625" style="78"/>
    <col min="15610" max="15610" width="30.33203125" style="78" customWidth="1"/>
    <col min="15611" max="15611" width="10.44140625" style="78" customWidth="1"/>
    <col min="15612" max="15613" width="11.44140625" style="78"/>
    <col min="15614" max="15614" width="10.33203125" style="78" customWidth="1"/>
    <col min="15615" max="15615" width="9.5546875" style="78" customWidth="1"/>
    <col min="15616" max="15616" width="13.109375" style="78" customWidth="1"/>
    <col min="15617" max="15617" width="9.88671875" style="78" customWidth="1"/>
    <col min="15618" max="15618" width="9.109375" style="78" customWidth="1"/>
    <col min="15619" max="15620" width="13.88671875" style="78" customWidth="1"/>
    <col min="15621" max="15621" width="10.5546875" style="78" customWidth="1"/>
    <col min="15622" max="15622" width="15.109375" style="78" customWidth="1"/>
    <col min="15623" max="15623" width="20.44140625" style="78" customWidth="1"/>
    <col min="15624" max="15865" width="11.44140625" style="78"/>
    <col min="15866" max="15866" width="30.33203125" style="78" customWidth="1"/>
    <col min="15867" max="15867" width="10.44140625" style="78" customWidth="1"/>
    <col min="15868" max="15869" width="11.44140625" style="78"/>
    <col min="15870" max="15870" width="10.33203125" style="78" customWidth="1"/>
    <col min="15871" max="15871" width="9.5546875" style="78" customWidth="1"/>
    <col min="15872" max="15872" width="13.109375" style="78" customWidth="1"/>
    <col min="15873" max="15873" width="9.88671875" style="78" customWidth="1"/>
    <col min="15874" max="15874" width="9.109375" style="78" customWidth="1"/>
    <col min="15875" max="15876" width="13.88671875" style="78" customWidth="1"/>
    <col min="15877" max="15877" width="10.5546875" style="78" customWidth="1"/>
    <col min="15878" max="15878" width="15.109375" style="78" customWidth="1"/>
    <col min="15879" max="15879" width="20.44140625" style="78" customWidth="1"/>
    <col min="15880" max="16121" width="11.44140625" style="78"/>
    <col min="16122" max="16122" width="30.33203125" style="78" customWidth="1"/>
    <col min="16123" max="16123" width="10.44140625" style="78" customWidth="1"/>
    <col min="16124" max="16125" width="11.44140625" style="78"/>
    <col min="16126" max="16126" width="10.33203125" style="78" customWidth="1"/>
    <col min="16127" max="16127" width="9.5546875" style="78" customWidth="1"/>
    <col min="16128" max="16128" width="13.109375" style="78" customWidth="1"/>
    <col min="16129" max="16129" width="9.88671875" style="78" customWidth="1"/>
    <col min="16130" max="16130" width="9.109375" style="78" customWidth="1"/>
    <col min="16131" max="16132" width="13.88671875" style="78" customWidth="1"/>
    <col min="16133" max="16133" width="10.5546875" style="78" customWidth="1"/>
    <col min="16134" max="16134" width="15.109375" style="78" customWidth="1"/>
    <col min="16135" max="16135" width="20.44140625" style="78" customWidth="1"/>
    <col min="16136" max="16384" width="11.44140625" style="78"/>
  </cols>
  <sheetData>
    <row r="1" spans="1:14" ht="15" thickBot="1" x14ac:dyDescent="0.35"/>
    <row r="2" spans="1:14" ht="26.4" customHeight="1" thickBot="1" x14ac:dyDescent="0.35">
      <c r="B2" s="161" t="s">
        <v>47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4" x14ac:dyDescent="0.3">
      <c r="A3" s="81"/>
      <c r="B3" s="82"/>
    </row>
    <row r="4" spans="1:14" ht="15" thickBot="1" x14ac:dyDescent="0.35">
      <c r="A4" s="81"/>
      <c r="G4" s="78"/>
      <c r="H4" s="78"/>
      <c r="I4" s="78"/>
      <c r="J4" s="78"/>
      <c r="K4" s="78"/>
    </row>
    <row r="5" spans="1:14" ht="58.2" thickBot="1" x14ac:dyDescent="0.35">
      <c r="A5" s="94" t="s">
        <v>12</v>
      </c>
      <c r="B5" s="94" t="s">
        <v>9</v>
      </c>
      <c r="C5" s="95" t="s">
        <v>31</v>
      </c>
      <c r="D5" s="94" t="s">
        <v>0</v>
      </c>
      <c r="E5" s="94" t="s">
        <v>1</v>
      </c>
      <c r="F5" s="96" t="s">
        <v>32</v>
      </c>
      <c r="G5" s="97" t="s">
        <v>5</v>
      </c>
      <c r="H5" s="97" t="s">
        <v>34</v>
      </c>
      <c r="I5" s="98" t="s">
        <v>33</v>
      </c>
      <c r="J5" s="97" t="s">
        <v>5</v>
      </c>
      <c r="K5" s="98" t="s">
        <v>35</v>
      </c>
      <c r="M5" s="153" t="s">
        <v>52</v>
      </c>
      <c r="N5" s="154"/>
    </row>
    <row r="6" spans="1:14" s="87" customFormat="1" x14ac:dyDescent="0.3">
      <c r="A6" s="83"/>
      <c r="B6" s="83"/>
      <c r="C6" s="143">
        <f>SUM(H6+K6)</f>
        <v>0</v>
      </c>
      <c r="D6" s="83"/>
      <c r="E6" s="83"/>
      <c r="F6" s="127"/>
      <c r="G6" s="85">
        <v>7000</v>
      </c>
      <c r="H6" s="84">
        <f>F6*G6</f>
        <v>0</v>
      </c>
      <c r="I6" s="127"/>
      <c r="J6" s="84">
        <v>9000</v>
      </c>
      <c r="K6" s="86">
        <f>SUM(I6*J6)</f>
        <v>0</v>
      </c>
    </row>
    <row r="7" spans="1:14" s="87" customFormat="1" x14ac:dyDescent="0.3">
      <c r="A7" s="83"/>
      <c r="B7" s="83"/>
      <c r="C7" s="143">
        <f t="shared" ref="C7:C69" si="0">SUM(H7+K7)</f>
        <v>0</v>
      </c>
      <c r="D7" s="83"/>
      <c r="E7" s="83"/>
      <c r="F7" s="83"/>
      <c r="G7" s="85">
        <v>7000</v>
      </c>
      <c r="H7" s="84">
        <f>F7*G7</f>
        <v>0</v>
      </c>
      <c r="I7" s="83"/>
      <c r="J7" s="84">
        <v>9000</v>
      </c>
      <c r="K7" s="86">
        <f t="shared" ref="K7:K69" si="1">SUM(I7*J7)</f>
        <v>0</v>
      </c>
    </row>
    <row r="8" spans="1:14" s="87" customFormat="1" x14ac:dyDescent="0.3">
      <c r="A8" s="83"/>
      <c r="B8" s="83"/>
      <c r="C8" s="143">
        <f t="shared" si="0"/>
        <v>0</v>
      </c>
      <c r="D8" s="83"/>
      <c r="E8" s="83"/>
      <c r="F8" s="83"/>
      <c r="G8" s="85">
        <v>7000</v>
      </c>
      <c r="H8" s="84">
        <f>F8*G8</f>
        <v>0</v>
      </c>
      <c r="I8" s="83"/>
      <c r="J8" s="84">
        <v>9000</v>
      </c>
      <c r="K8" s="86">
        <f t="shared" si="1"/>
        <v>0</v>
      </c>
    </row>
    <row r="9" spans="1:14" s="87" customFormat="1" x14ac:dyDescent="0.3">
      <c r="A9" s="83"/>
      <c r="B9" s="83"/>
      <c r="C9" s="143">
        <f t="shared" si="0"/>
        <v>0</v>
      </c>
      <c r="D9" s="83"/>
      <c r="E9" s="83"/>
      <c r="F9" s="83"/>
      <c r="G9" s="85">
        <v>7000</v>
      </c>
      <c r="H9" s="84">
        <f>F9*G9</f>
        <v>0</v>
      </c>
      <c r="I9" s="83"/>
      <c r="J9" s="84">
        <v>9000</v>
      </c>
      <c r="K9" s="86">
        <f t="shared" si="1"/>
        <v>0</v>
      </c>
    </row>
    <row r="10" spans="1:14" s="87" customFormat="1" x14ac:dyDescent="0.3">
      <c r="A10" s="83"/>
      <c r="B10" s="83"/>
      <c r="C10" s="143">
        <f t="shared" si="0"/>
        <v>0</v>
      </c>
      <c r="D10" s="83"/>
      <c r="E10" s="83"/>
      <c r="F10" s="83"/>
      <c r="G10" s="85">
        <v>7000</v>
      </c>
      <c r="H10" s="84">
        <f>F10*G10</f>
        <v>0</v>
      </c>
      <c r="I10" s="83"/>
      <c r="J10" s="84">
        <v>9000</v>
      </c>
      <c r="K10" s="86">
        <f t="shared" si="1"/>
        <v>0</v>
      </c>
    </row>
    <row r="11" spans="1:14" s="87" customFormat="1" x14ac:dyDescent="0.3">
      <c r="A11" s="83"/>
      <c r="B11" s="83"/>
      <c r="C11" s="143">
        <f t="shared" si="0"/>
        <v>0</v>
      </c>
      <c r="D11" s="83"/>
      <c r="E11" s="83"/>
      <c r="F11" s="83"/>
      <c r="G11" s="85">
        <v>7000</v>
      </c>
      <c r="H11" s="85">
        <f t="shared" ref="H11:H69" si="2">SUM(F11*G11)</f>
        <v>0</v>
      </c>
      <c r="I11" s="83"/>
      <c r="J11" s="84">
        <v>9000</v>
      </c>
      <c r="K11" s="86">
        <f t="shared" si="1"/>
        <v>0</v>
      </c>
    </row>
    <row r="12" spans="1:14" s="87" customFormat="1" x14ac:dyDescent="0.3">
      <c r="A12" s="83"/>
      <c r="B12" s="83"/>
      <c r="C12" s="143">
        <f t="shared" si="0"/>
        <v>0</v>
      </c>
      <c r="D12" s="83"/>
      <c r="E12" s="83"/>
      <c r="F12" s="83"/>
      <c r="G12" s="85">
        <v>7000</v>
      </c>
      <c r="H12" s="85">
        <f t="shared" si="2"/>
        <v>0</v>
      </c>
      <c r="I12" s="83"/>
      <c r="J12" s="84">
        <v>9000</v>
      </c>
      <c r="K12" s="86">
        <f t="shared" si="1"/>
        <v>0</v>
      </c>
    </row>
    <row r="13" spans="1:14" s="87" customFormat="1" x14ac:dyDescent="0.3">
      <c r="A13" s="83"/>
      <c r="B13" s="83"/>
      <c r="C13" s="143">
        <f t="shared" si="0"/>
        <v>0</v>
      </c>
      <c r="D13" s="83"/>
      <c r="E13" s="83"/>
      <c r="F13" s="83"/>
      <c r="G13" s="85">
        <v>7000</v>
      </c>
      <c r="H13" s="85">
        <f t="shared" si="2"/>
        <v>0</v>
      </c>
      <c r="I13" s="83"/>
      <c r="J13" s="84">
        <v>9000</v>
      </c>
      <c r="K13" s="86">
        <f t="shared" si="1"/>
        <v>0</v>
      </c>
    </row>
    <row r="14" spans="1:14" s="87" customFormat="1" x14ac:dyDescent="0.3">
      <c r="A14" s="83"/>
      <c r="B14" s="83"/>
      <c r="C14" s="143">
        <f t="shared" si="0"/>
        <v>0</v>
      </c>
      <c r="D14" s="83"/>
      <c r="E14" s="83"/>
      <c r="F14" s="83"/>
      <c r="G14" s="85">
        <v>7000</v>
      </c>
      <c r="H14" s="85">
        <f t="shared" si="2"/>
        <v>0</v>
      </c>
      <c r="I14" s="83"/>
      <c r="J14" s="84">
        <v>9000</v>
      </c>
      <c r="K14" s="86">
        <f t="shared" si="1"/>
        <v>0</v>
      </c>
    </row>
    <row r="15" spans="1:14" s="87" customFormat="1" x14ac:dyDescent="0.3">
      <c r="A15" s="83"/>
      <c r="B15" s="83"/>
      <c r="C15" s="143">
        <f t="shared" si="0"/>
        <v>0</v>
      </c>
      <c r="D15" s="83"/>
      <c r="E15" s="83"/>
      <c r="F15" s="83"/>
      <c r="G15" s="85">
        <v>7000</v>
      </c>
      <c r="H15" s="85">
        <f t="shared" si="2"/>
        <v>0</v>
      </c>
      <c r="I15" s="83"/>
      <c r="J15" s="84">
        <v>9000</v>
      </c>
      <c r="K15" s="86">
        <f t="shared" si="1"/>
        <v>0</v>
      </c>
    </row>
    <row r="16" spans="1:14" s="87" customFormat="1" x14ac:dyDescent="0.3">
      <c r="A16" s="83"/>
      <c r="B16" s="83"/>
      <c r="C16" s="143">
        <f t="shared" si="0"/>
        <v>0</v>
      </c>
      <c r="D16" s="83"/>
      <c r="E16" s="83"/>
      <c r="F16" s="83"/>
      <c r="G16" s="85">
        <v>7000</v>
      </c>
      <c r="H16" s="85">
        <f t="shared" si="2"/>
        <v>0</v>
      </c>
      <c r="I16" s="83"/>
      <c r="J16" s="84">
        <v>9000</v>
      </c>
      <c r="K16" s="86">
        <f t="shared" si="1"/>
        <v>0</v>
      </c>
    </row>
    <row r="17" spans="1:11" s="87" customFormat="1" x14ac:dyDescent="0.3">
      <c r="A17" s="83"/>
      <c r="B17" s="83"/>
      <c r="C17" s="143">
        <f t="shared" si="0"/>
        <v>0</v>
      </c>
      <c r="D17" s="83"/>
      <c r="E17" s="83"/>
      <c r="F17" s="83"/>
      <c r="G17" s="85">
        <v>7000</v>
      </c>
      <c r="H17" s="85">
        <f t="shared" si="2"/>
        <v>0</v>
      </c>
      <c r="I17" s="83"/>
      <c r="J17" s="84">
        <v>9000</v>
      </c>
      <c r="K17" s="86">
        <f t="shared" si="1"/>
        <v>0</v>
      </c>
    </row>
    <row r="18" spans="1:11" s="87" customFormat="1" x14ac:dyDescent="0.3">
      <c r="A18" s="83"/>
      <c r="B18" s="83"/>
      <c r="C18" s="143">
        <f t="shared" si="0"/>
        <v>0</v>
      </c>
      <c r="D18" s="83"/>
      <c r="E18" s="83"/>
      <c r="F18" s="83"/>
      <c r="G18" s="85">
        <v>7000</v>
      </c>
      <c r="H18" s="85">
        <f t="shared" si="2"/>
        <v>0</v>
      </c>
      <c r="I18" s="83"/>
      <c r="J18" s="84">
        <v>9000</v>
      </c>
      <c r="K18" s="86">
        <f t="shared" si="1"/>
        <v>0</v>
      </c>
    </row>
    <row r="19" spans="1:11" s="87" customFormat="1" x14ac:dyDescent="0.3">
      <c r="A19" s="83"/>
      <c r="B19" s="83"/>
      <c r="C19" s="143">
        <f t="shared" si="0"/>
        <v>0</v>
      </c>
      <c r="D19" s="83"/>
      <c r="E19" s="83"/>
      <c r="F19" s="83"/>
      <c r="G19" s="85">
        <v>7000</v>
      </c>
      <c r="H19" s="85">
        <f t="shared" si="2"/>
        <v>0</v>
      </c>
      <c r="I19" s="83"/>
      <c r="J19" s="84">
        <v>9000</v>
      </c>
      <c r="K19" s="86">
        <f t="shared" si="1"/>
        <v>0</v>
      </c>
    </row>
    <row r="20" spans="1:11" s="87" customFormat="1" x14ac:dyDescent="0.3">
      <c r="A20" s="83"/>
      <c r="B20" s="83"/>
      <c r="C20" s="143">
        <f t="shared" si="0"/>
        <v>0</v>
      </c>
      <c r="D20" s="83"/>
      <c r="E20" s="83"/>
      <c r="F20" s="83"/>
      <c r="G20" s="85">
        <v>7000</v>
      </c>
      <c r="H20" s="85">
        <f t="shared" si="2"/>
        <v>0</v>
      </c>
      <c r="I20" s="83"/>
      <c r="J20" s="84">
        <v>9000</v>
      </c>
      <c r="K20" s="86">
        <f t="shared" si="1"/>
        <v>0</v>
      </c>
    </row>
    <row r="21" spans="1:11" s="87" customFormat="1" x14ac:dyDescent="0.3">
      <c r="A21" s="83"/>
      <c r="B21" s="83"/>
      <c r="C21" s="143">
        <f t="shared" si="0"/>
        <v>0</v>
      </c>
      <c r="D21" s="83"/>
      <c r="E21" s="83"/>
      <c r="F21" s="83"/>
      <c r="G21" s="85">
        <v>7000</v>
      </c>
      <c r="H21" s="85">
        <f t="shared" si="2"/>
        <v>0</v>
      </c>
      <c r="I21" s="83"/>
      <c r="J21" s="84">
        <v>9000</v>
      </c>
      <c r="K21" s="86">
        <f t="shared" si="1"/>
        <v>0</v>
      </c>
    </row>
    <row r="22" spans="1:11" s="87" customFormat="1" x14ac:dyDescent="0.3">
      <c r="A22" s="83"/>
      <c r="B22" s="83"/>
      <c r="C22" s="143">
        <f t="shared" si="0"/>
        <v>0</v>
      </c>
      <c r="D22" s="83"/>
      <c r="E22" s="83"/>
      <c r="F22" s="83"/>
      <c r="G22" s="85">
        <v>7000</v>
      </c>
      <c r="H22" s="85">
        <f t="shared" si="2"/>
        <v>0</v>
      </c>
      <c r="I22" s="83"/>
      <c r="J22" s="84">
        <v>9000</v>
      </c>
      <c r="K22" s="86">
        <f t="shared" si="1"/>
        <v>0</v>
      </c>
    </row>
    <row r="23" spans="1:11" s="87" customFormat="1" x14ac:dyDescent="0.3">
      <c r="A23" s="83"/>
      <c r="B23" s="83"/>
      <c r="C23" s="143">
        <f t="shared" si="0"/>
        <v>0</v>
      </c>
      <c r="D23" s="83"/>
      <c r="E23" s="83"/>
      <c r="F23" s="83"/>
      <c r="G23" s="85">
        <v>7000</v>
      </c>
      <c r="H23" s="85">
        <f t="shared" si="2"/>
        <v>0</v>
      </c>
      <c r="I23" s="83"/>
      <c r="J23" s="84">
        <v>9000</v>
      </c>
      <c r="K23" s="86">
        <f t="shared" si="1"/>
        <v>0</v>
      </c>
    </row>
    <row r="24" spans="1:11" s="87" customFormat="1" x14ac:dyDescent="0.3">
      <c r="A24" s="83"/>
      <c r="B24" s="83"/>
      <c r="C24" s="143">
        <f t="shared" si="0"/>
        <v>0</v>
      </c>
      <c r="D24" s="83"/>
      <c r="E24" s="83"/>
      <c r="F24" s="83"/>
      <c r="G24" s="85">
        <v>7000</v>
      </c>
      <c r="H24" s="85">
        <f t="shared" si="2"/>
        <v>0</v>
      </c>
      <c r="I24" s="83"/>
      <c r="J24" s="84">
        <v>9000</v>
      </c>
      <c r="K24" s="86">
        <f t="shared" si="1"/>
        <v>0</v>
      </c>
    </row>
    <row r="25" spans="1:11" s="87" customFormat="1" x14ac:dyDescent="0.3">
      <c r="A25" s="83"/>
      <c r="B25" s="83"/>
      <c r="C25" s="143">
        <f t="shared" si="0"/>
        <v>0</v>
      </c>
      <c r="D25" s="83"/>
      <c r="E25" s="83"/>
      <c r="F25" s="83"/>
      <c r="G25" s="85">
        <v>7000</v>
      </c>
      <c r="H25" s="85">
        <f t="shared" si="2"/>
        <v>0</v>
      </c>
      <c r="I25" s="83"/>
      <c r="J25" s="84">
        <v>9000</v>
      </c>
      <c r="K25" s="86">
        <f t="shared" si="1"/>
        <v>0</v>
      </c>
    </row>
    <row r="26" spans="1:11" s="87" customFormat="1" x14ac:dyDescent="0.3">
      <c r="A26" s="83"/>
      <c r="B26" s="83"/>
      <c r="C26" s="143">
        <f t="shared" si="0"/>
        <v>0</v>
      </c>
      <c r="D26" s="83"/>
      <c r="E26" s="83"/>
      <c r="F26" s="83"/>
      <c r="G26" s="85">
        <v>7000</v>
      </c>
      <c r="H26" s="85">
        <f t="shared" si="2"/>
        <v>0</v>
      </c>
      <c r="I26" s="83"/>
      <c r="J26" s="84">
        <v>9000</v>
      </c>
      <c r="K26" s="86">
        <f t="shared" si="1"/>
        <v>0</v>
      </c>
    </row>
    <row r="27" spans="1:11" s="87" customFormat="1" x14ac:dyDescent="0.3">
      <c r="A27" s="83"/>
      <c r="B27" s="83"/>
      <c r="C27" s="143">
        <f t="shared" si="0"/>
        <v>0</v>
      </c>
      <c r="D27" s="83"/>
      <c r="E27" s="83"/>
      <c r="F27" s="83"/>
      <c r="G27" s="85">
        <v>7000</v>
      </c>
      <c r="H27" s="85">
        <f t="shared" si="2"/>
        <v>0</v>
      </c>
      <c r="I27" s="83"/>
      <c r="J27" s="84">
        <v>9000</v>
      </c>
      <c r="K27" s="86">
        <f t="shared" si="1"/>
        <v>0</v>
      </c>
    </row>
    <row r="28" spans="1:11" s="87" customFormat="1" x14ac:dyDescent="0.3">
      <c r="A28" s="83"/>
      <c r="B28" s="83"/>
      <c r="C28" s="143">
        <f t="shared" si="0"/>
        <v>0</v>
      </c>
      <c r="D28" s="83"/>
      <c r="E28" s="83"/>
      <c r="F28" s="83"/>
      <c r="G28" s="85">
        <v>7000</v>
      </c>
      <c r="H28" s="85">
        <f t="shared" si="2"/>
        <v>0</v>
      </c>
      <c r="I28" s="83"/>
      <c r="J28" s="84">
        <v>9000</v>
      </c>
      <c r="K28" s="86">
        <f t="shared" si="1"/>
        <v>0</v>
      </c>
    </row>
    <row r="29" spans="1:11" s="87" customFormat="1" x14ac:dyDescent="0.3">
      <c r="A29" s="83"/>
      <c r="B29" s="83"/>
      <c r="C29" s="143">
        <f t="shared" si="0"/>
        <v>0</v>
      </c>
      <c r="D29" s="83"/>
      <c r="E29" s="83"/>
      <c r="F29" s="83"/>
      <c r="G29" s="85">
        <v>7000</v>
      </c>
      <c r="H29" s="85">
        <f t="shared" si="2"/>
        <v>0</v>
      </c>
      <c r="I29" s="83"/>
      <c r="J29" s="84">
        <v>9000</v>
      </c>
      <c r="K29" s="86">
        <f t="shared" si="1"/>
        <v>0</v>
      </c>
    </row>
    <row r="30" spans="1:11" s="87" customFormat="1" x14ac:dyDescent="0.3">
      <c r="A30" s="83"/>
      <c r="B30" s="83"/>
      <c r="C30" s="143">
        <f t="shared" si="0"/>
        <v>0</v>
      </c>
      <c r="D30" s="83"/>
      <c r="E30" s="83"/>
      <c r="F30" s="83"/>
      <c r="G30" s="85">
        <v>7000</v>
      </c>
      <c r="H30" s="85">
        <f t="shared" si="2"/>
        <v>0</v>
      </c>
      <c r="I30" s="83"/>
      <c r="J30" s="84">
        <v>9000</v>
      </c>
      <c r="K30" s="86">
        <f t="shared" si="1"/>
        <v>0</v>
      </c>
    </row>
    <row r="31" spans="1:11" s="87" customFormat="1" x14ac:dyDescent="0.3">
      <c r="A31" s="83"/>
      <c r="B31" s="83"/>
      <c r="C31" s="143">
        <f t="shared" si="0"/>
        <v>0</v>
      </c>
      <c r="D31" s="83"/>
      <c r="E31" s="83"/>
      <c r="F31" s="83"/>
      <c r="G31" s="85">
        <v>7000</v>
      </c>
      <c r="H31" s="85">
        <f t="shared" si="2"/>
        <v>0</v>
      </c>
      <c r="I31" s="83"/>
      <c r="J31" s="84">
        <v>9000</v>
      </c>
      <c r="K31" s="86">
        <f t="shared" si="1"/>
        <v>0</v>
      </c>
    </row>
    <row r="32" spans="1:11" s="87" customFormat="1" x14ac:dyDescent="0.3">
      <c r="A32" s="83"/>
      <c r="B32" s="83"/>
      <c r="C32" s="143">
        <f t="shared" si="0"/>
        <v>0</v>
      </c>
      <c r="D32" s="83"/>
      <c r="E32" s="83"/>
      <c r="F32" s="83"/>
      <c r="G32" s="85">
        <v>7000</v>
      </c>
      <c r="H32" s="85">
        <f t="shared" si="2"/>
        <v>0</v>
      </c>
      <c r="I32" s="83"/>
      <c r="J32" s="84">
        <v>9000</v>
      </c>
      <c r="K32" s="86">
        <f t="shared" si="1"/>
        <v>0</v>
      </c>
    </row>
    <row r="33" spans="1:11" s="87" customFormat="1" x14ac:dyDescent="0.3">
      <c r="A33" s="83"/>
      <c r="B33" s="83"/>
      <c r="C33" s="143">
        <f t="shared" si="0"/>
        <v>0</v>
      </c>
      <c r="D33" s="83"/>
      <c r="E33" s="83"/>
      <c r="F33" s="83"/>
      <c r="G33" s="85">
        <v>7000</v>
      </c>
      <c r="H33" s="85">
        <f t="shared" si="2"/>
        <v>0</v>
      </c>
      <c r="I33" s="83"/>
      <c r="J33" s="84">
        <v>9000</v>
      </c>
      <c r="K33" s="86">
        <f t="shared" si="1"/>
        <v>0</v>
      </c>
    </row>
    <row r="34" spans="1:11" s="87" customFormat="1" x14ac:dyDescent="0.3">
      <c r="A34" s="83"/>
      <c r="B34" s="83"/>
      <c r="C34" s="143">
        <f t="shared" si="0"/>
        <v>0</v>
      </c>
      <c r="D34" s="83"/>
      <c r="E34" s="83"/>
      <c r="F34" s="83"/>
      <c r="G34" s="85">
        <v>7000</v>
      </c>
      <c r="H34" s="85">
        <f t="shared" si="2"/>
        <v>0</v>
      </c>
      <c r="I34" s="83"/>
      <c r="J34" s="84">
        <v>9000</v>
      </c>
      <c r="K34" s="86">
        <f t="shared" si="1"/>
        <v>0</v>
      </c>
    </row>
    <row r="35" spans="1:11" s="87" customFormat="1" x14ac:dyDescent="0.3">
      <c r="A35" s="83"/>
      <c r="B35" s="83"/>
      <c r="C35" s="143">
        <f t="shared" si="0"/>
        <v>0</v>
      </c>
      <c r="D35" s="83"/>
      <c r="E35" s="83"/>
      <c r="F35" s="83"/>
      <c r="G35" s="85">
        <v>7000</v>
      </c>
      <c r="H35" s="85">
        <f t="shared" si="2"/>
        <v>0</v>
      </c>
      <c r="I35" s="83"/>
      <c r="J35" s="84">
        <v>9000</v>
      </c>
      <c r="K35" s="86">
        <f t="shared" si="1"/>
        <v>0</v>
      </c>
    </row>
    <row r="36" spans="1:11" s="87" customFormat="1" x14ac:dyDescent="0.3">
      <c r="A36" s="83"/>
      <c r="B36" s="83"/>
      <c r="C36" s="143">
        <f t="shared" si="0"/>
        <v>0</v>
      </c>
      <c r="D36" s="83"/>
      <c r="E36" s="83"/>
      <c r="F36" s="83"/>
      <c r="G36" s="85">
        <v>7000</v>
      </c>
      <c r="H36" s="85">
        <f t="shared" si="2"/>
        <v>0</v>
      </c>
      <c r="I36" s="83"/>
      <c r="J36" s="84">
        <v>9000</v>
      </c>
      <c r="K36" s="86">
        <f t="shared" si="1"/>
        <v>0</v>
      </c>
    </row>
    <row r="37" spans="1:11" s="87" customFormat="1" x14ac:dyDescent="0.3">
      <c r="A37" s="83"/>
      <c r="B37" s="83"/>
      <c r="C37" s="143">
        <f t="shared" si="0"/>
        <v>0</v>
      </c>
      <c r="D37" s="83"/>
      <c r="E37" s="83"/>
      <c r="F37" s="83"/>
      <c r="G37" s="85">
        <v>7000</v>
      </c>
      <c r="H37" s="85">
        <f t="shared" si="2"/>
        <v>0</v>
      </c>
      <c r="I37" s="83"/>
      <c r="J37" s="84">
        <v>9000</v>
      </c>
      <c r="K37" s="86">
        <f t="shared" si="1"/>
        <v>0</v>
      </c>
    </row>
    <row r="38" spans="1:11" s="87" customFormat="1" x14ac:dyDescent="0.3">
      <c r="A38" s="83"/>
      <c r="B38" s="83"/>
      <c r="C38" s="143">
        <f t="shared" si="0"/>
        <v>0</v>
      </c>
      <c r="D38" s="83"/>
      <c r="E38" s="83"/>
      <c r="F38" s="83"/>
      <c r="G38" s="85">
        <v>7000</v>
      </c>
      <c r="H38" s="85">
        <f t="shared" si="2"/>
        <v>0</v>
      </c>
      <c r="I38" s="83"/>
      <c r="J38" s="84">
        <v>9000</v>
      </c>
      <c r="K38" s="86">
        <f t="shared" si="1"/>
        <v>0</v>
      </c>
    </row>
    <row r="39" spans="1:11" s="87" customFormat="1" x14ac:dyDescent="0.3">
      <c r="A39" s="83"/>
      <c r="B39" s="83"/>
      <c r="C39" s="143">
        <f t="shared" si="0"/>
        <v>0</v>
      </c>
      <c r="D39" s="83"/>
      <c r="E39" s="83"/>
      <c r="F39" s="83"/>
      <c r="G39" s="85">
        <v>7000</v>
      </c>
      <c r="H39" s="85">
        <f t="shared" si="2"/>
        <v>0</v>
      </c>
      <c r="I39" s="83"/>
      <c r="J39" s="84">
        <v>9000</v>
      </c>
      <c r="K39" s="86">
        <f t="shared" si="1"/>
        <v>0</v>
      </c>
    </row>
    <row r="40" spans="1:11" s="87" customFormat="1" x14ac:dyDescent="0.3">
      <c r="A40" s="92"/>
      <c r="B40" s="92"/>
      <c r="C40" s="143">
        <f t="shared" si="0"/>
        <v>0</v>
      </c>
      <c r="D40" s="83"/>
      <c r="E40" s="83"/>
      <c r="F40" s="83"/>
      <c r="G40" s="85">
        <v>7000</v>
      </c>
      <c r="H40" s="85">
        <f t="shared" si="2"/>
        <v>0</v>
      </c>
      <c r="I40" s="83"/>
      <c r="J40" s="84">
        <v>9000</v>
      </c>
      <c r="K40" s="86">
        <f t="shared" si="1"/>
        <v>0</v>
      </c>
    </row>
    <row r="41" spans="1:11" s="87" customFormat="1" x14ac:dyDescent="0.3">
      <c r="A41" s="92"/>
      <c r="B41" s="92"/>
      <c r="C41" s="143">
        <f t="shared" si="0"/>
        <v>0</v>
      </c>
      <c r="D41" s="83"/>
      <c r="E41" s="83"/>
      <c r="F41" s="83"/>
      <c r="G41" s="85">
        <v>7000</v>
      </c>
      <c r="H41" s="85">
        <f t="shared" si="2"/>
        <v>0</v>
      </c>
      <c r="I41" s="83"/>
      <c r="J41" s="84">
        <v>9000</v>
      </c>
      <c r="K41" s="86">
        <f t="shared" si="1"/>
        <v>0</v>
      </c>
    </row>
    <row r="42" spans="1:11" s="87" customFormat="1" x14ac:dyDescent="0.3">
      <c r="A42" s="92"/>
      <c r="B42" s="92"/>
      <c r="C42" s="143">
        <f t="shared" si="0"/>
        <v>0</v>
      </c>
      <c r="D42" s="83"/>
      <c r="E42" s="83"/>
      <c r="F42" s="83"/>
      <c r="G42" s="85">
        <v>7000</v>
      </c>
      <c r="H42" s="85">
        <f t="shared" si="2"/>
        <v>0</v>
      </c>
      <c r="I42" s="83"/>
      <c r="J42" s="84">
        <v>9000</v>
      </c>
      <c r="K42" s="86">
        <f t="shared" si="1"/>
        <v>0</v>
      </c>
    </row>
    <row r="43" spans="1:11" s="87" customFormat="1" x14ac:dyDescent="0.3">
      <c r="A43" s="92"/>
      <c r="B43" s="92"/>
      <c r="C43" s="143">
        <f t="shared" si="0"/>
        <v>0</v>
      </c>
      <c r="D43" s="83"/>
      <c r="E43" s="83"/>
      <c r="F43" s="83"/>
      <c r="G43" s="85">
        <v>7000</v>
      </c>
      <c r="H43" s="85">
        <f t="shared" si="2"/>
        <v>0</v>
      </c>
      <c r="I43" s="83"/>
      <c r="J43" s="84">
        <v>9000</v>
      </c>
      <c r="K43" s="86">
        <f t="shared" si="1"/>
        <v>0</v>
      </c>
    </row>
    <row r="44" spans="1:11" s="87" customFormat="1" x14ac:dyDescent="0.3">
      <c r="A44" s="92"/>
      <c r="B44" s="92"/>
      <c r="C44" s="143">
        <f t="shared" si="0"/>
        <v>0</v>
      </c>
      <c r="D44" s="83"/>
      <c r="E44" s="83"/>
      <c r="F44" s="83"/>
      <c r="G44" s="85">
        <v>7000</v>
      </c>
      <c r="H44" s="85">
        <f t="shared" si="2"/>
        <v>0</v>
      </c>
      <c r="I44" s="83"/>
      <c r="J44" s="84">
        <v>9000</v>
      </c>
      <c r="K44" s="86">
        <f t="shared" si="1"/>
        <v>0</v>
      </c>
    </row>
    <row r="45" spans="1:11" s="87" customFormat="1" x14ac:dyDescent="0.3">
      <c r="A45" s="92"/>
      <c r="B45" s="92"/>
      <c r="C45" s="143">
        <f t="shared" si="0"/>
        <v>0</v>
      </c>
      <c r="D45" s="83"/>
      <c r="E45" s="83"/>
      <c r="F45" s="83"/>
      <c r="G45" s="85">
        <v>7000</v>
      </c>
      <c r="H45" s="85">
        <f t="shared" si="2"/>
        <v>0</v>
      </c>
      <c r="I45" s="83"/>
      <c r="J45" s="84">
        <v>9000</v>
      </c>
      <c r="K45" s="86">
        <f t="shared" si="1"/>
        <v>0</v>
      </c>
    </row>
    <row r="46" spans="1:11" s="87" customFormat="1" x14ac:dyDescent="0.3">
      <c r="A46" s="92"/>
      <c r="B46" s="92"/>
      <c r="C46" s="143">
        <f t="shared" si="0"/>
        <v>0</v>
      </c>
      <c r="D46" s="83"/>
      <c r="E46" s="83"/>
      <c r="F46" s="83"/>
      <c r="G46" s="85">
        <v>7000</v>
      </c>
      <c r="H46" s="85">
        <f t="shared" si="2"/>
        <v>0</v>
      </c>
      <c r="I46" s="83"/>
      <c r="J46" s="84">
        <v>9000</v>
      </c>
      <c r="K46" s="86">
        <f t="shared" si="1"/>
        <v>0</v>
      </c>
    </row>
    <row r="47" spans="1:11" s="87" customFormat="1" x14ac:dyDescent="0.3">
      <c r="A47" s="92"/>
      <c r="B47" s="92"/>
      <c r="C47" s="143">
        <f t="shared" si="0"/>
        <v>0</v>
      </c>
      <c r="D47" s="83"/>
      <c r="E47" s="83"/>
      <c r="F47" s="83"/>
      <c r="G47" s="85">
        <v>7000</v>
      </c>
      <c r="H47" s="85">
        <f t="shared" si="2"/>
        <v>0</v>
      </c>
      <c r="I47" s="83"/>
      <c r="J47" s="84">
        <v>9000</v>
      </c>
      <c r="K47" s="86">
        <f t="shared" si="1"/>
        <v>0</v>
      </c>
    </row>
    <row r="48" spans="1:11" s="87" customFormat="1" x14ac:dyDescent="0.3">
      <c r="A48" s="92"/>
      <c r="B48" s="92"/>
      <c r="C48" s="143">
        <f t="shared" si="0"/>
        <v>0</v>
      </c>
      <c r="D48" s="83"/>
      <c r="E48" s="83"/>
      <c r="F48" s="83"/>
      <c r="G48" s="85">
        <v>7000</v>
      </c>
      <c r="H48" s="85">
        <f t="shared" si="2"/>
        <v>0</v>
      </c>
      <c r="I48" s="83"/>
      <c r="J48" s="84">
        <v>9000</v>
      </c>
      <c r="K48" s="86">
        <f t="shared" si="1"/>
        <v>0</v>
      </c>
    </row>
    <row r="49" spans="1:11" s="87" customFormat="1" x14ac:dyDescent="0.3">
      <c r="A49" s="92"/>
      <c r="B49" s="92"/>
      <c r="C49" s="143">
        <f t="shared" si="0"/>
        <v>0</v>
      </c>
      <c r="D49" s="83"/>
      <c r="E49" s="83"/>
      <c r="F49" s="83"/>
      <c r="G49" s="85">
        <v>7000</v>
      </c>
      <c r="H49" s="85">
        <f t="shared" si="2"/>
        <v>0</v>
      </c>
      <c r="I49" s="83"/>
      <c r="J49" s="84">
        <v>9000</v>
      </c>
      <c r="K49" s="86">
        <f t="shared" si="1"/>
        <v>0</v>
      </c>
    </row>
    <row r="50" spans="1:11" s="87" customFormat="1" x14ac:dyDescent="0.3">
      <c r="A50" s="92"/>
      <c r="B50" s="92"/>
      <c r="C50" s="143">
        <f t="shared" si="0"/>
        <v>0</v>
      </c>
      <c r="D50" s="83"/>
      <c r="E50" s="83"/>
      <c r="F50" s="83"/>
      <c r="G50" s="85">
        <v>7000</v>
      </c>
      <c r="H50" s="85">
        <f t="shared" si="2"/>
        <v>0</v>
      </c>
      <c r="I50" s="83"/>
      <c r="J50" s="84">
        <v>9000</v>
      </c>
      <c r="K50" s="86">
        <f t="shared" si="1"/>
        <v>0</v>
      </c>
    </row>
    <row r="51" spans="1:11" s="87" customFormat="1" x14ac:dyDescent="0.3">
      <c r="A51" s="92"/>
      <c r="B51" s="92"/>
      <c r="C51" s="143">
        <f t="shared" si="0"/>
        <v>0</v>
      </c>
      <c r="D51" s="83"/>
      <c r="E51" s="83"/>
      <c r="F51" s="83"/>
      <c r="G51" s="85">
        <v>7000</v>
      </c>
      <c r="H51" s="85">
        <f t="shared" si="2"/>
        <v>0</v>
      </c>
      <c r="I51" s="83"/>
      <c r="J51" s="84">
        <v>9000</v>
      </c>
      <c r="K51" s="86">
        <f t="shared" si="1"/>
        <v>0</v>
      </c>
    </row>
    <row r="52" spans="1:11" s="87" customFormat="1" x14ac:dyDescent="0.3">
      <c r="A52" s="92"/>
      <c r="B52" s="92"/>
      <c r="C52" s="143">
        <f t="shared" si="0"/>
        <v>0</v>
      </c>
      <c r="D52" s="83"/>
      <c r="E52" s="83"/>
      <c r="F52" s="83"/>
      <c r="G52" s="85">
        <v>7000</v>
      </c>
      <c r="H52" s="85">
        <f t="shared" si="2"/>
        <v>0</v>
      </c>
      <c r="I52" s="83"/>
      <c r="J52" s="84">
        <v>9000</v>
      </c>
      <c r="K52" s="86">
        <f t="shared" si="1"/>
        <v>0</v>
      </c>
    </row>
    <row r="53" spans="1:11" s="87" customFormat="1" x14ac:dyDescent="0.3">
      <c r="A53" s="92"/>
      <c r="B53" s="92"/>
      <c r="C53" s="143">
        <f t="shared" si="0"/>
        <v>0</v>
      </c>
      <c r="D53" s="83"/>
      <c r="E53" s="83"/>
      <c r="F53" s="83"/>
      <c r="G53" s="85">
        <v>7000</v>
      </c>
      <c r="H53" s="85">
        <f t="shared" si="2"/>
        <v>0</v>
      </c>
      <c r="I53" s="83"/>
      <c r="J53" s="84">
        <v>9000</v>
      </c>
      <c r="K53" s="86">
        <f t="shared" si="1"/>
        <v>0</v>
      </c>
    </row>
    <row r="54" spans="1:11" s="87" customFormat="1" x14ac:dyDescent="0.3">
      <c r="A54" s="92"/>
      <c r="B54" s="92"/>
      <c r="C54" s="143">
        <f t="shared" si="0"/>
        <v>0</v>
      </c>
      <c r="D54" s="83"/>
      <c r="E54" s="83"/>
      <c r="F54" s="83"/>
      <c r="G54" s="85">
        <v>7000</v>
      </c>
      <c r="H54" s="85">
        <f t="shared" si="2"/>
        <v>0</v>
      </c>
      <c r="I54" s="83"/>
      <c r="J54" s="84">
        <v>9000</v>
      </c>
      <c r="K54" s="86">
        <f t="shared" si="1"/>
        <v>0</v>
      </c>
    </row>
    <row r="55" spans="1:11" s="87" customFormat="1" x14ac:dyDescent="0.3">
      <c r="A55" s="92"/>
      <c r="B55" s="92"/>
      <c r="C55" s="143">
        <f t="shared" si="0"/>
        <v>0</v>
      </c>
      <c r="D55" s="83"/>
      <c r="E55" s="83"/>
      <c r="F55" s="83"/>
      <c r="G55" s="85">
        <v>7000</v>
      </c>
      <c r="H55" s="85">
        <f t="shared" si="2"/>
        <v>0</v>
      </c>
      <c r="I55" s="83"/>
      <c r="J55" s="84">
        <v>9000</v>
      </c>
      <c r="K55" s="86">
        <f t="shared" si="1"/>
        <v>0</v>
      </c>
    </row>
    <row r="56" spans="1:11" s="87" customFormat="1" x14ac:dyDescent="0.3">
      <c r="A56" s="92"/>
      <c r="B56" s="92"/>
      <c r="C56" s="143">
        <f t="shared" si="0"/>
        <v>0</v>
      </c>
      <c r="D56" s="83"/>
      <c r="E56" s="83"/>
      <c r="F56" s="83"/>
      <c r="G56" s="85">
        <v>7000</v>
      </c>
      <c r="H56" s="85">
        <f t="shared" si="2"/>
        <v>0</v>
      </c>
      <c r="I56" s="83"/>
      <c r="J56" s="84">
        <v>9000</v>
      </c>
      <c r="K56" s="86">
        <f t="shared" si="1"/>
        <v>0</v>
      </c>
    </row>
    <row r="57" spans="1:11" s="87" customFormat="1" x14ac:dyDescent="0.3">
      <c r="A57" s="92"/>
      <c r="B57" s="92"/>
      <c r="C57" s="143">
        <f t="shared" si="0"/>
        <v>0</v>
      </c>
      <c r="D57" s="83"/>
      <c r="E57" s="83"/>
      <c r="F57" s="83"/>
      <c r="G57" s="85">
        <v>7000</v>
      </c>
      <c r="H57" s="85">
        <f t="shared" si="2"/>
        <v>0</v>
      </c>
      <c r="I57" s="83"/>
      <c r="J57" s="84">
        <v>9000</v>
      </c>
      <c r="K57" s="86">
        <f t="shared" si="1"/>
        <v>0</v>
      </c>
    </row>
    <row r="58" spans="1:11" s="87" customFormat="1" x14ac:dyDescent="0.3">
      <c r="A58" s="92"/>
      <c r="B58" s="92"/>
      <c r="C58" s="143">
        <f t="shared" si="0"/>
        <v>0</v>
      </c>
      <c r="D58" s="83"/>
      <c r="E58" s="83"/>
      <c r="F58" s="83"/>
      <c r="G58" s="85">
        <v>7000</v>
      </c>
      <c r="H58" s="85">
        <f t="shared" si="2"/>
        <v>0</v>
      </c>
      <c r="I58" s="83"/>
      <c r="J58" s="84">
        <v>9000</v>
      </c>
      <c r="K58" s="86">
        <f t="shared" si="1"/>
        <v>0</v>
      </c>
    </row>
    <row r="59" spans="1:11" s="87" customFormat="1" x14ac:dyDescent="0.3">
      <c r="A59" s="92"/>
      <c r="B59" s="92"/>
      <c r="C59" s="143">
        <f t="shared" si="0"/>
        <v>0</v>
      </c>
      <c r="D59" s="83"/>
      <c r="E59" s="83"/>
      <c r="F59" s="83"/>
      <c r="G59" s="85">
        <v>7000</v>
      </c>
      <c r="H59" s="85">
        <f t="shared" si="2"/>
        <v>0</v>
      </c>
      <c r="I59" s="83"/>
      <c r="J59" s="84">
        <v>9000</v>
      </c>
      <c r="K59" s="86">
        <f t="shared" si="1"/>
        <v>0</v>
      </c>
    </row>
    <row r="60" spans="1:11" s="87" customFormat="1" x14ac:dyDescent="0.3">
      <c r="A60" s="83"/>
      <c r="B60" s="83"/>
      <c r="C60" s="143">
        <f t="shared" si="0"/>
        <v>0</v>
      </c>
      <c r="D60" s="83"/>
      <c r="E60" s="83"/>
      <c r="F60" s="83"/>
      <c r="G60" s="85">
        <v>7000</v>
      </c>
      <c r="H60" s="85">
        <f t="shared" si="2"/>
        <v>0</v>
      </c>
      <c r="I60" s="83"/>
      <c r="J60" s="84">
        <v>9000</v>
      </c>
      <c r="K60" s="86">
        <f t="shared" si="1"/>
        <v>0</v>
      </c>
    </row>
    <row r="61" spans="1:11" s="87" customFormat="1" x14ac:dyDescent="0.3">
      <c r="A61" s="83"/>
      <c r="B61" s="83"/>
      <c r="C61" s="143">
        <f t="shared" si="0"/>
        <v>0</v>
      </c>
      <c r="D61" s="83"/>
      <c r="E61" s="83"/>
      <c r="F61" s="83"/>
      <c r="G61" s="85">
        <v>7000</v>
      </c>
      <c r="H61" s="85">
        <f t="shared" si="2"/>
        <v>0</v>
      </c>
      <c r="I61" s="83"/>
      <c r="J61" s="84">
        <v>9000</v>
      </c>
      <c r="K61" s="86">
        <f t="shared" si="1"/>
        <v>0</v>
      </c>
    </row>
    <row r="62" spans="1:11" s="87" customFormat="1" x14ac:dyDescent="0.3">
      <c r="A62" s="83"/>
      <c r="B62" s="83"/>
      <c r="C62" s="143">
        <f t="shared" si="0"/>
        <v>0</v>
      </c>
      <c r="D62" s="83"/>
      <c r="E62" s="83"/>
      <c r="F62" s="83"/>
      <c r="G62" s="85">
        <v>7000</v>
      </c>
      <c r="H62" s="85">
        <f t="shared" si="2"/>
        <v>0</v>
      </c>
      <c r="I62" s="83"/>
      <c r="J62" s="84">
        <v>9000</v>
      </c>
      <c r="K62" s="86">
        <f t="shared" si="1"/>
        <v>0</v>
      </c>
    </row>
    <row r="63" spans="1:11" s="87" customFormat="1" x14ac:dyDescent="0.3">
      <c r="A63" s="83"/>
      <c r="B63" s="83"/>
      <c r="C63" s="143">
        <f t="shared" si="0"/>
        <v>0</v>
      </c>
      <c r="D63" s="83"/>
      <c r="E63" s="83"/>
      <c r="F63" s="83"/>
      <c r="G63" s="85">
        <v>7000</v>
      </c>
      <c r="H63" s="85">
        <f t="shared" si="2"/>
        <v>0</v>
      </c>
      <c r="I63" s="83"/>
      <c r="J63" s="84">
        <v>9000</v>
      </c>
      <c r="K63" s="86">
        <f t="shared" si="1"/>
        <v>0</v>
      </c>
    </row>
    <row r="64" spans="1:11" s="87" customFormat="1" x14ac:dyDescent="0.3">
      <c r="A64" s="83"/>
      <c r="B64" s="83"/>
      <c r="C64" s="143">
        <f t="shared" si="0"/>
        <v>0</v>
      </c>
      <c r="D64" s="83"/>
      <c r="E64" s="83"/>
      <c r="F64" s="83"/>
      <c r="G64" s="85">
        <v>7000</v>
      </c>
      <c r="H64" s="85">
        <f t="shared" si="2"/>
        <v>0</v>
      </c>
      <c r="I64" s="83"/>
      <c r="J64" s="84">
        <v>9000</v>
      </c>
      <c r="K64" s="86">
        <f t="shared" si="1"/>
        <v>0</v>
      </c>
    </row>
    <row r="65" spans="1:11" s="87" customFormat="1" x14ac:dyDescent="0.3">
      <c r="A65" s="83"/>
      <c r="B65" s="83"/>
      <c r="C65" s="143">
        <f t="shared" si="0"/>
        <v>0</v>
      </c>
      <c r="D65" s="83"/>
      <c r="E65" s="83"/>
      <c r="F65" s="83"/>
      <c r="G65" s="85">
        <v>7000</v>
      </c>
      <c r="H65" s="85">
        <f t="shared" si="2"/>
        <v>0</v>
      </c>
      <c r="I65" s="83"/>
      <c r="J65" s="84">
        <v>9000</v>
      </c>
      <c r="K65" s="86">
        <f t="shared" si="1"/>
        <v>0</v>
      </c>
    </row>
    <row r="66" spans="1:11" s="87" customFormat="1" x14ac:dyDescent="0.3">
      <c r="A66" s="83"/>
      <c r="B66" s="83"/>
      <c r="C66" s="143">
        <f t="shared" si="0"/>
        <v>0</v>
      </c>
      <c r="D66" s="83"/>
      <c r="E66" s="83"/>
      <c r="F66" s="83"/>
      <c r="G66" s="85">
        <v>7000</v>
      </c>
      <c r="H66" s="85">
        <f t="shared" si="2"/>
        <v>0</v>
      </c>
      <c r="I66" s="83"/>
      <c r="J66" s="84">
        <v>9000</v>
      </c>
      <c r="K66" s="86">
        <f t="shared" si="1"/>
        <v>0</v>
      </c>
    </row>
    <row r="67" spans="1:11" s="87" customFormat="1" x14ac:dyDescent="0.3">
      <c r="A67" s="83"/>
      <c r="B67" s="83"/>
      <c r="C67" s="143">
        <f t="shared" si="0"/>
        <v>0</v>
      </c>
      <c r="D67" s="83"/>
      <c r="E67" s="83"/>
      <c r="F67" s="83"/>
      <c r="G67" s="85">
        <v>7000</v>
      </c>
      <c r="H67" s="85">
        <f t="shared" si="2"/>
        <v>0</v>
      </c>
      <c r="I67" s="83"/>
      <c r="J67" s="84">
        <v>9000</v>
      </c>
      <c r="K67" s="86">
        <f t="shared" si="1"/>
        <v>0</v>
      </c>
    </row>
    <row r="68" spans="1:11" s="87" customFormat="1" x14ac:dyDescent="0.3">
      <c r="A68" s="83"/>
      <c r="B68" s="83"/>
      <c r="C68" s="143">
        <f t="shared" si="0"/>
        <v>0</v>
      </c>
      <c r="D68" s="83"/>
      <c r="E68" s="83"/>
      <c r="F68" s="83"/>
      <c r="G68" s="85">
        <v>7000</v>
      </c>
      <c r="H68" s="85">
        <f t="shared" si="2"/>
        <v>0</v>
      </c>
      <c r="I68" s="83"/>
      <c r="J68" s="84">
        <v>9000</v>
      </c>
      <c r="K68" s="86">
        <f t="shared" si="1"/>
        <v>0</v>
      </c>
    </row>
    <row r="69" spans="1:11" s="87" customFormat="1" x14ac:dyDescent="0.3">
      <c r="A69" s="83"/>
      <c r="B69" s="83"/>
      <c r="C69" s="143">
        <f t="shared" si="0"/>
        <v>0</v>
      </c>
      <c r="D69" s="83"/>
      <c r="E69" s="83"/>
      <c r="F69" s="83"/>
      <c r="G69" s="85">
        <v>7000</v>
      </c>
      <c r="H69" s="85">
        <f t="shared" si="2"/>
        <v>0</v>
      </c>
      <c r="I69" s="83"/>
      <c r="J69" s="84">
        <v>9000</v>
      </c>
      <c r="K69" s="86">
        <f t="shared" si="1"/>
        <v>0</v>
      </c>
    </row>
    <row r="70" spans="1:11" s="87" customFormat="1" x14ac:dyDescent="0.3">
      <c r="C70" s="93"/>
      <c r="G70" s="93"/>
      <c r="H70" s="93"/>
      <c r="J70" s="93"/>
      <c r="K70" s="93"/>
    </row>
    <row r="71" spans="1:11" s="87" customFormat="1" x14ac:dyDescent="0.3">
      <c r="B71" s="114"/>
      <c r="C71" s="115"/>
      <c r="D71" s="114"/>
      <c r="E71" s="114"/>
      <c r="F71" s="114"/>
      <c r="G71" s="115"/>
      <c r="H71" s="115"/>
      <c r="I71" s="114"/>
      <c r="J71" s="115"/>
      <c r="K71" s="115"/>
    </row>
    <row r="72" spans="1:11" ht="15" thickBot="1" x14ac:dyDescent="0.35">
      <c r="B72" s="116"/>
      <c r="C72" s="117"/>
      <c r="D72" s="136"/>
      <c r="E72" s="81"/>
      <c r="F72" s="81"/>
      <c r="G72" s="119"/>
      <c r="H72" s="120"/>
      <c r="I72" s="121"/>
      <c r="J72" s="120"/>
      <c r="K72" s="120"/>
    </row>
    <row r="73" spans="1:11" x14ac:dyDescent="0.3">
      <c r="B73" s="163" t="s">
        <v>27</v>
      </c>
      <c r="C73" s="163"/>
      <c r="D73" s="136"/>
      <c r="E73" s="136"/>
      <c r="F73" s="122"/>
      <c r="G73" s="119"/>
      <c r="H73" s="163" t="s">
        <v>29</v>
      </c>
      <c r="I73" s="163"/>
      <c r="J73" s="163"/>
      <c r="K73" s="163"/>
    </row>
    <row r="74" spans="1:11" x14ac:dyDescent="0.3">
      <c r="B74" s="164" t="s">
        <v>28</v>
      </c>
      <c r="C74" s="164"/>
      <c r="D74" s="136"/>
      <c r="E74" s="81"/>
      <c r="F74" s="81"/>
      <c r="G74" s="119"/>
      <c r="H74" s="165" t="s">
        <v>30</v>
      </c>
      <c r="I74" s="165"/>
      <c r="J74" s="165"/>
      <c r="K74" s="165"/>
    </row>
    <row r="75" spans="1:11" x14ac:dyDescent="0.3">
      <c r="B75" s="81"/>
      <c r="C75" s="122"/>
      <c r="D75" s="136"/>
      <c r="E75" s="81"/>
      <c r="F75" s="81"/>
      <c r="G75" s="119"/>
      <c r="H75" s="136"/>
      <c r="I75" s="122"/>
      <c r="J75" s="119"/>
      <c r="K75" s="119"/>
    </row>
    <row r="76" spans="1:11" x14ac:dyDescent="0.3">
      <c r="C76" s="45"/>
      <c r="D76" s="44"/>
    </row>
    <row r="77" spans="1:11" x14ac:dyDescent="0.3">
      <c r="G77" s="78"/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0"/>
  <dimension ref="A1:N77"/>
  <sheetViews>
    <sheetView zoomScaleNormal="100" workbookViewId="0">
      <pane xSplit="1" topLeftCell="B1" activePane="topRight" state="frozen"/>
      <selection pane="topRight" activeCell="F14" sqref="F14"/>
    </sheetView>
  </sheetViews>
  <sheetFormatPr baseColWidth="10" defaultRowHeight="14.4" x14ac:dyDescent="0.3"/>
  <cols>
    <col min="1" max="1" width="11.44140625" style="78"/>
    <col min="2" max="2" width="31.109375" style="78" customWidth="1"/>
    <col min="3" max="3" width="13.33203125" style="79" customWidth="1"/>
    <col min="4" max="4" width="11.44140625" style="78" customWidth="1"/>
    <col min="5" max="5" width="11.109375" style="78" customWidth="1"/>
    <col min="6" max="6" width="11.5546875" style="78" customWidth="1"/>
    <col min="7" max="7" width="8.6640625" style="79" customWidth="1"/>
    <col min="8" max="8" width="15.109375" style="79" customWidth="1"/>
    <col min="9" max="9" width="13.6640625" style="80" customWidth="1"/>
    <col min="10" max="10" width="8.6640625" style="79" customWidth="1"/>
    <col min="11" max="11" width="10.44140625" style="79" customWidth="1"/>
    <col min="12" max="249" width="11.44140625" style="78"/>
    <col min="250" max="250" width="30.33203125" style="78" customWidth="1"/>
    <col min="251" max="251" width="10.44140625" style="78" customWidth="1"/>
    <col min="252" max="253" width="11.44140625" style="78"/>
    <col min="254" max="254" width="10.33203125" style="78" customWidth="1"/>
    <col min="255" max="255" width="9.5546875" style="78" customWidth="1"/>
    <col min="256" max="256" width="13.109375" style="78" customWidth="1"/>
    <col min="257" max="257" width="9.88671875" style="78" customWidth="1"/>
    <col min="258" max="258" width="9.109375" style="78" customWidth="1"/>
    <col min="259" max="260" width="13.88671875" style="78" customWidth="1"/>
    <col min="261" max="261" width="10.5546875" style="78" customWidth="1"/>
    <col min="262" max="262" width="15.109375" style="78" customWidth="1"/>
    <col min="263" max="263" width="20.44140625" style="78" customWidth="1"/>
    <col min="264" max="505" width="11.44140625" style="78"/>
    <col min="506" max="506" width="30.33203125" style="78" customWidth="1"/>
    <col min="507" max="507" width="10.44140625" style="78" customWidth="1"/>
    <col min="508" max="509" width="11.44140625" style="78"/>
    <col min="510" max="510" width="10.33203125" style="78" customWidth="1"/>
    <col min="511" max="511" width="9.5546875" style="78" customWidth="1"/>
    <col min="512" max="512" width="13.109375" style="78" customWidth="1"/>
    <col min="513" max="513" width="9.88671875" style="78" customWidth="1"/>
    <col min="514" max="514" width="9.109375" style="78" customWidth="1"/>
    <col min="515" max="516" width="13.88671875" style="78" customWidth="1"/>
    <col min="517" max="517" width="10.5546875" style="78" customWidth="1"/>
    <col min="518" max="518" width="15.109375" style="78" customWidth="1"/>
    <col min="519" max="519" width="20.44140625" style="78" customWidth="1"/>
    <col min="520" max="761" width="11.44140625" style="78"/>
    <col min="762" max="762" width="30.33203125" style="78" customWidth="1"/>
    <col min="763" max="763" width="10.44140625" style="78" customWidth="1"/>
    <col min="764" max="765" width="11.44140625" style="78"/>
    <col min="766" max="766" width="10.33203125" style="78" customWidth="1"/>
    <col min="767" max="767" width="9.5546875" style="78" customWidth="1"/>
    <col min="768" max="768" width="13.109375" style="78" customWidth="1"/>
    <col min="769" max="769" width="9.88671875" style="78" customWidth="1"/>
    <col min="770" max="770" width="9.109375" style="78" customWidth="1"/>
    <col min="771" max="772" width="13.88671875" style="78" customWidth="1"/>
    <col min="773" max="773" width="10.5546875" style="78" customWidth="1"/>
    <col min="774" max="774" width="15.109375" style="78" customWidth="1"/>
    <col min="775" max="775" width="20.44140625" style="78" customWidth="1"/>
    <col min="776" max="1017" width="11.44140625" style="78"/>
    <col min="1018" max="1018" width="30.33203125" style="78" customWidth="1"/>
    <col min="1019" max="1019" width="10.44140625" style="78" customWidth="1"/>
    <col min="1020" max="1021" width="11.44140625" style="78"/>
    <col min="1022" max="1022" width="10.33203125" style="78" customWidth="1"/>
    <col min="1023" max="1023" width="9.5546875" style="78" customWidth="1"/>
    <col min="1024" max="1024" width="13.109375" style="78" customWidth="1"/>
    <col min="1025" max="1025" width="9.88671875" style="78" customWidth="1"/>
    <col min="1026" max="1026" width="9.109375" style="78" customWidth="1"/>
    <col min="1027" max="1028" width="13.88671875" style="78" customWidth="1"/>
    <col min="1029" max="1029" width="10.5546875" style="78" customWidth="1"/>
    <col min="1030" max="1030" width="15.109375" style="78" customWidth="1"/>
    <col min="1031" max="1031" width="20.44140625" style="78" customWidth="1"/>
    <col min="1032" max="1273" width="11.44140625" style="78"/>
    <col min="1274" max="1274" width="30.33203125" style="78" customWidth="1"/>
    <col min="1275" max="1275" width="10.44140625" style="78" customWidth="1"/>
    <col min="1276" max="1277" width="11.44140625" style="78"/>
    <col min="1278" max="1278" width="10.33203125" style="78" customWidth="1"/>
    <col min="1279" max="1279" width="9.5546875" style="78" customWidth="1"/>
    <col min="1280" max="1280" width="13.109375" style="78" customWidth="1"/>
    <col min="1281" max="1281" width="9.88671875" style="78" customWidth="1"/>
    <col min="1282" max="1282" width="9.109375" style="78" customWidth="1"/>
    <col min="1283" max="1284" width="13.88671875" style="78" customWidth="1"/>
    <col min="1285" max="1285" width="10.5546875" style="78" customWidth="1"/>
    <col min="1286" max="1286" width="15.109375" style="78" customWidth="1"/>
    <col min="1287" max="1287" width="20.44140625" style="78" customWidth="1"/>
    <col min="1288" max="1529" width="11.44140625" style="78"/>
    <col min="1530" max="1530" width="30.33203125" style="78" customWidth="1"/>
    <col min="1531" max="1531" width="10.44140625" style="78" customWidth="1"/>
    <col min="1532" max="1533" width="11.44140625" style="78"/>
    <col min="1534" max="1534" width="10.33203125" style="78" customWidth="1"/>
    <col min="1535" max="1535" width="9.5546875" style="78" customWidth="1"/>
    <col min="1536" max="1536" width="13.109375" style="78" customWidth="1"/>
    <col min="1537" max="1537" width="9.88671875" style="78" customWidth="1"/>
    <col min="1538" max="1538" width="9.109375" style="78" customWidth="1"/>
    <col min="1539" max="1540" width="13.88671875" style="78" customWidth="1"/>
    <col min="1541" max="1541" width="10.5546875" style="78" customWidth="1"/>
    <col min="1542" max="1542" width="15.109375" style="78" customWidth="1"/>
    <col min="1543" max="1543" width="20.44140625" style="78" customWidth="1"/>
    <col min="1544" max="1785" width="11.44140625" style="78"/>
    <col min="1786" max="1786" width="30.33203125" style="78" customWidth="1"/>
    <col min="1787" max="1787" width="10.44140625" style="78" customWidth="1"/>
    <col min="1788" max="1789" width="11.44140625" style="78"/>
    <col min="1790" max="1790" width="10.33203125" style="78" customWidth="1"/>
    <col min="1791" max="1791" width="9.5546875" style="78" customWidth="1"/>
    <col min="1792" max="1792" width="13.109375" style="78" customWidth="1"/>
    <col min="1793" max="1793" width="9.88671875" style="78" customWidth="1"/>
    <col min="1794" max="1794" width="9.109375" style="78" customWidth="1"/>
    <col min="1795" max="1796" width="13.88671875" style="78" customWidth="1"/>
    <col min="1797" max="1797" width="10.5546875" style="78" customWidth="1"/>
    <col min="1798" max="1798" width="15.109375" style="78" customWidth="1"/>
    <col min="1799" max="1799" width="20.44140625" style="78" customWidth="1"/>
    <col min="1800" max="2041" width="11.44140625" style="78"/>
    <col min="2042" max="2042" width="30.33203125" style="78" customWidth="1"/>
    <col min="2043" max="2043" width="10.44140625" style="78" customWidth="1"/>
    <col min="2044" max="2045" width="11.44140625" style="78"/>
    <col min="2046" max="2046" width="10.33203125" style="78" customWidth="1"/>
    <col min="2047" max="2047" width="9.5546875" style="78" customWidth="1"/>
    <col min="2048" max="2048" width="13.109375" style="78" customWidth="1"/>
    <col min="2049" max="2049" width="9.88671875" style="78" customWidth="1"/>
    <col min="2050" max="2050" width="9.109375" style="78" customWidth="1"/>
    <col min="2051" max="2052" width="13.88671875" style="78" customWidth="1"/>
    <col min="2053" max="2053" width="10.5546875" style="78" customWidth="1"/>
    <col min="2054" max="2054" width="15.109375" style="78" customWidth="1"/>
    <col min="2055" max="2055" width="20.44140625" style="78" customWidth="1"/>
    <col min="2056" max="2297" width="11.44140625" style="78"/>
    <col min="2298" max="2298" width="30.33203125" style="78" customWidth="1"/>
    <col min="2299" max="2299" width="10.44140625" style="78" customWidth="1"/>
    <col min="2300" max="2301" width="11.44140625" style="78"/>
    <col min="2302" max="2302" width="10.33203125" style="78" customWidth="1"/>
    <col min="2303" max="2303" width="9.5546875" style="78" customWidth="1"/>
    <col min="2304" max="2304" width="13.109375" style="78" customWidth="1"/>
    <col min="2305" max="2305" width="9.88671875" style="78" customWidth="1"/>
    <col min="2306" max="2306" width="9.109375" style="78" customWidth="1"/>
    <col min="2307" max="2308" width="13.88671875" style="78" customWidth="1"/>
    <col min="2309" max="2309" width="10.5546875" style="78" customWidth="1"/>
    <col min="2310" max="2310" width="15.109375" style="78" customWidth="1"/>
    <col min="2311" max="2311" width="20.44140625" style="78" customWidth="1"/>
    <col min="2312" max="2553" width="11.44140625" style="78"/>
    <col min="2554" max="2554" width="30.33203125" style="78" customWidth="1"/>
    <col min="2555" max="2555" width="10.44140625" style="78" customWidth="1"/>
    <col min="2556" max="2557" width="11.44140625" style="78"/>
    <col min="2558" max="2558" width="10.33203125" style="78" customWidth="1"/>
    <col min="2559" max="2559" width="9.5546875" style="78" customWidth="1"/>
    <col min="2560" max="2560" width="13.109375" style="78" customWidth="1"/>
    <col min="2561" max="2561" width="9.88671875" style="78" customWidth="1"/>
    <col min="2562" max="2562" width="9.109375" style="78" customWidth="1"/>
    <col min="2563" max="2564" width="13.88671875" style="78" customWidth="1"/>
    <col min="2565" max="2565" width="10.5546875" style="78" customWidth="1"/>
    <col min="2566" max="2566" width="15.109375" style="78" customWidth="1"/>
    <col min="2567" max="2567" width="20.44140625" style="78" customWidth="1"/>
    <col min="2568" max="2809" width="11.44140625" style="78"/>
    <col min="2810" max="2810" width="30.33203125" style="78" customWidth="1"/>
    <col min="2811" max="2811" width="10.44140625" style="78" customWidth="1"/>
    <col min="2812" max="2813" width="11.44140625" style="78"/>
    <col min="2814" max="2814" width="10.33203125" style="78" customWidth="1"/>
    <col min="2815" max="2815" width="9.5546875" style="78" customWidth="1"/>
    <col min="2816" max="2816" width="13.109375" style="78" customWidth="1"/>
    <col min="2817" max="2817" width="9.88671875" style="78" customWidth="1"/>
    <col min="2818" max="2818" width="9.109375" style="78" customWidth="1"/>
    <col min="2819" max="2820" width="13.88671875" style="78" customWidth="1"/>
    <col min="2821" max="2821" width="10.5546875" style="78" customWidth="1"/>
    <col min="2822" max="2822" width="15.109375" style="78" customWidth="1"/>
    <col min="2823" max="2823" width="20.44140625" style="78" customWidth="1"/>
    <col min="2824" max="3065" width="11.44140625" style="78"/>
    <col min="3066" max="3066" width="30.33203125" style="78" customWidth="1"/>
    <col min="3067" max="3067" width="10.44140625" style="78" customWidth="1"/>
    <col min="3068" max="3069" width="11.44140625" style="78"/>
    <col min="3070" max="3070" width="10.33203125" style="78" customWidth="1"/>
    <col min="3071" max="3071" width="9.5546875" style="78" customWidth="1"/>
    <col min="3072" max="3072" width="13.109375" style="78" customWidth="1"/>
    <col min="3073" max="3073" width="9.88671875" style="78" customWidth="1"/>
    <col min="3074" max="3074" width="9.109375" style="78" customWidth="1"/>
    <col min="3075" max="3076" width="13.88671875" style="78" customWidth="1"/>
    <col min="3077" max="3077" width="10.5546875" style="78" customWidth="1"/>
    <col min="3078" max="3078" width="15.109375" style="78" customWidth="1"/>
    <col min="3079" max="3079" width="20.44140625" style="78" customWidth="1"/>
    <col min="3080" max="3321" width="11.44140625" style="78"/>
    <col min="3322" max="3322" width="30.33203125" style="78" customWidth="1"/>
    <col min="3323" max="3323" width="10.44140625" style="78" customWidth="1"/>
    <col min="3324" max="3325" width="11.44140625" style="78"/>
    <col min="3326" max="3326" width="10.33203125" style="78" customWidth="1"/>
    <col min="3327" max="3327" width="9.5546875" style="78" customWidth="1"/>
    <col min="3328" max="3328" width="13.109375" style="78" customWidth="1"/>
    <col min="3329" max="3329" width="9.88671875" style="78" customWidth="1"/>
    <col min="3330" max="3330" width="9.109375" style="78" customWidth="1"/>
    <col min="3331" max="3332" width="13.88671875" style="78" customWidth="1"/>
    <col min="3333" max="3333" width="10.5546875" style="78" customWidth="1"/>
    <col min="3334" max="3334" width="15.109375" style="78" customWidth="1"/>
    <col min="3335" max="3335" width="20.44140625" style="78" customWidth="1"/>
    <col min="3336" max="3577" width="11.44140625" style="78"/>
    <col min="3578" max="3578" width="30.33203125" style="78" customWidth="1"/>
    <col min="3579" max="3579" width="10.44140625" style="78" customWidth="1"/>
    <col min="3580" max="3581" width="11.44140625" style="78"/>
    <col min="3582" max="3582" width="10.33203125" style="78" customWidth="1"/>
    <col min="3583" max="3583" width="9.5546875" style="78" customWidth="1"/>
    <col min="3584" max="3584" width="13.109375" style="78" customWidth="1"/>
    <col min="3585" max="3585" width="9.88671875" style="78" customWidth="1"/>
    <col min="3586" max="3586" width="9.109375" style="78" customWidth="1"/>
    <col min="3587" max="3588" width="13.88671875" style="78" customWidth="1"/>
    <col min="3589" max="3589" width="10.5546875" style="78" customWidth="1"/>
    <col min="3590" max="3590" width="15.109375" style="78" customWidth="1"/>
    <col min="3591" max="3591" width="20.44140625" style="78" customWidth="1"/>
    <col min="3592" max="3833" width="11.44140625" style="78"/>
    <col min="3834" max="3834" width="30.33203125" style="78" customWidth="1"/>
    <col min="3835" max="3835" width="10.44140625" style="78" customWidth="1"/>
    <col min="3836" max="3837" width="11.44140625" style="78"/>
    <col min="3838" max="3838" width="10.33203125" style="78" customWidth="1"/>
    <col min="3839" max="3839" width="9.5546875" style="78" customWidth="1"/>
    <col min="3840" max="3840" width="13.109375" style="78" customWidth="1"/>
    <col min="3841" max="3841" width="9.88671875" style="78" customWidth="1"/>
    <col min="3842" max="3842" width="9.109375" style="78" customWidth="1"/>
    <col min="3843" max="3844" width="13.88671875" style="78" customWidth="1"/>
    <col min="3845" max="3845" width="10.5546875" style="78" customWidth="1"/>
    <col min="3846" max="3846" width="15.109375" style="78" customWidth="1"/>
    <col min="3847" max="3847" width="20.44140625" style="78" customWidth="1"/>
    <col min="3848" max="4089" width="11.44140625" style="78"/>
    <col min="4090" max="4090" width="30.33203125" style="78" customWidth="1"/>
    <col min="4091" max="4091" width="10.44140625" style="78" customWidth="1"/>
    <col min="4092" max="4093" width="11.44140625" style="78"/>
    <col min="4094" max="4094" width="10.33203125" style="78" customWidth="1"/>
    <col min="4095" max="4095" width="9.5546875" style="78" customWidth="1"/>
    <col min="4096" max="4096" width="13.109375" style="78" customWidth="1"/>
    <col min="4097" max="4097" width="9.88671875" style="78" customWidth="1"/>
    <col min="4098" max="4098" width="9.109375" style="78" customWidth="1"/>
    <col min="4099" max="4100" width="13.88671875" style="78" customWidth="1"/>
    <col min="4101" max="4101" width="10.5546875" style="78" customWidth="1"/>
    <col min="4102" max="4102" width="15.109375" style="78" customWidth="1"/>
    <col min="4103" max="4103" width="20.44140625" style="78" customWidth="1"/>
    <col min="4104" max="4345" width="11.44140625" style="78"/>
    <col min="4346" max="4346" width="30.33203125" style="78" customWidth="1"/>
    <col min="4347" max="4347" width="10.44140625" style="78" customWidth="1"/>
    <col min="4348" max="4349" width="11.44140625" style="78"/>
    <col min="4350" max="4350" width="10.33203125" style="78" customWidth="1"/>
    <col min="4351" max="4351" width="9.5546875" style="78" customWidth="1"/>
    <col min="4352" max="4352" width="13.109375" style="78" customWidth="1"/>
    <col min="4353" max="4353" width="9.88671875" style="78" customWidth="1"/>
    <col min="4354" max="4354" width="9.109375" style="78" customWidth="1"/>
    <col min="4355" max="4356" width="13.88671875" style="78" customWidth="1"/>
    <col min="4357" max="4357" width="10.5546875" style="78" customWidth="1"/>
    <col min="4358" max="4358" width="15.109375" style="78" customWidth="1"/>
    <col min="4359" max="4359" width="20.44140625" style="78" customWidth="1"/>
    <col min="4360" max="4601" width="11.44140625" style="78"/>
    <col min="4602" max="4602" width="30.33203125" style="78" customWidth="1"/>
    <col min="4603" max="4603" width="10.44140625" style="78" customWidth="1"/>
    <col min="4604" max="4605" width="11.44140625" style="78"/>
    <col min="4606" max="4606" width="10.33203125" style="78" customWidth="1"/>
    <col min="4607" max="4607" width="9.5546875" style="78" customWidth="1"/>
    <col min="4608" max="4608" width="13.109375" style="78" customWidth="1"/>
    <col min="4609" max="4609" width="9.88671875" style="78" customWidth="1"/>
    <col min="4610" max="4610" width="9.109375" style="78" customWidth="1"/>
    <col min="4611" max="4612" width="13.88671875" style="78" customWidth="1"/>
    <col min="4613" max="4613" width="10.5546875" style="78" customWidth="1"/>
    <col min="4614" max="4614" width="15.109375" style="78" customWidth="1"/>
    <col min="4615" max="4615" width="20.44140625" style="78" customWidth="1"/>
    <col min="4616" max="4857" width="11.44140625" style="78"/>
    <col min="4858" max="4858" width="30.33203125" style="78" customWidth="1"/>
    <col min="4859" max="4859" width="10.44140625" style="78" customWidth="1"/>
    <col min="4860" max="4861" width="11.44140625" style="78"/>
    <col min="4862" max="4862" width="10.33203125" style="78" customWidth="1"/>
    <col min="4863" max="4863" width="9.5546875" style="78" customWidth="1"/>
    <col min="4864" max="4864" width="13.109375" style="78" customWidth="1"/>
    <col min="4865" max="4865" width="9.88671875" style="78" customWidth="1"/>
    <col min="4866" max="4866" width="9.109375" style="78" customWidth="1"/>
    <col min="4867" max="4868" width="13.88671875" style="78" customWidth="1"/>
    <col min="4869" max="4869" width="10.5546875" style="78" customWidth="1"/>
    <col min="4870" max="4870" width="15.109375" style="78" customWidth="1"/>
    <col min="4871" max="4871" width="20.44140625" style="78" customWidth="1"/>
    <col min="4872" max="5113" width="11.44140625" style="78"/>
    <col min="5114" max="5114" width="30.33203125" style="78" customWidth="1"/>
    <col min="5115" max="5115" width="10.44140625" style="78" customWidth="1"/>
    <col min="5116" max="5117" width="11.44140625" style="78"/>
    <col min="5118" max="5118" width="10.33203125" style="78" customWidth="1"/>
    <col min="5119" max="5119" width="9.5546875" style="78" customWidth="1"/>
    <col min="5120" max="5120" width="13.109375" style="78" customWidth="1"/>
    <col min="5121" max="5121" width="9.88671875" style="78" customWidth="1"/>
    <col min="5122" max="5122" width="9.109375" style="78" customWidth="1"/>
    <col min="5123" max="5124" width="13.88671875" style="78" customWidth="1"/>
    <col min="5125" max="5125" width="10.5546875" style="78" customWidth="1"/>
    <col min="5126" max="5126" width="15.109375" style="78" customWidth="1"/>
    <col min="5127" max="5127" width="20.44140625" style="78" customWidth="1"/>
    <col min="5128" max="5369" width="11.44140625" style="78"/>
    <col min="5370" max="5370" width="30.33203125" style="78" customWidth="1"/>
    <col min="5371" max="5371" width="10.44140625" style="78" customWidth="1"/>
    <col min="5372" max="5373" width="11.44140625" style="78"/>
    <col min="5374" max="5374" width="10.33203125" style="78" customWidth="1"/>
    <col min="5375" max="5375" width="9.5546875" style="78" customWidth="1"/>
    <col min="5376" max="5376" width="13.109375" style="78" customWidth="1"/>
    <col min="5377" max="5377" width="9.88671875" style="78" customWidth="1"/>
    <col min="5378" max="5378" width="9.109375" style="78" customWidth="1"/>
    <col min="5379" max="5380" width="13.88671875" style="78" customWidth="1"/>
    <col min="5381" max="5381" width="10.5546875" style="78" customWidth="1"/>
    <col min="5382" max="5382" width="15.109375" style="78" customWidth="1"/>
    <col min="5383" max="5383" width="20.44140625" style="78" customWidth="1"/>
    <col min="5384" max="5625" width="11.44140625" style="78"/>
    <col min="5626" max="5626" width="30.33203125" style="78" customWidth="1"/>
    <col min="5627" max="5627" width="10.44140625" style="78" customWidth="1"/>
    <col min="5628" max="5629" width="11.44140625" style="78"/>
    <col min="5630" max="5630" width="10.33203125" style="78" customWidth="1"/>
    <col min="5631" max="5631" width="9.5546875" style="78" customWidth="1"/>
    <col min="5632" max="5632" width="13.109375" style="78" customWidth="1"/>
    <col min="5633" max="5633" width="9.88671875" style="78" customWidth="1"/>
    <col min="5634" max="5634" width="9.109375" style="78" customWidth="1"/>
    <col min="5635" max="5636" width="13.88671875" style="78" customWidth="1"/>
    <col min="5637" max="5637" width="10.5546875" style="78" customWidth="1"/>
    <col min="5638" max="5638" width="15.109375" style="78" customWidth="1"/>
    <col min="5639" max="5639" width="20.44140625" style="78" customWidth="1"/>
    <col min="5640" max="5881" width="11.44140625" style="78"/>
    <col min="5882" max="5882" width="30.33203125" style="78" customWidth="1"/>
    <col min="5883" max="5883" width="10.44140625" style="78" customWidth="1"/>
    <col min="5884" max="5885" width="11.44140625" style="78"/>
    <col min="5886" max="5886" width="10.33203125" style="78" customWidth="1"/>
    <col min="5887" max="5887" width="9.5546875" style="78" customWidth="1"/>
    <col min="5888" max="5888" width="13.109375" style="78" customWidth="1"/>
    <col min="5889" max="5889" width="9.88671875" style="78" customWidth="1"/>
    <col min="5890" max="5890" width="9.109375" style="78" customWidth="1"/>
    <col min="5891" max="5892" width="13.88671875" style="78" customWidth="1"/>
    <col min="5893" max="5893" width="10.5546875" style="78" customWidth="1"/>
    <col min="5894" max="5894" width="15.109375" style="78" customWidth="1"/>
    <col min="5895" max="5895" width="20.44140625" style="78" customWidth="1"/>
    <col min="5896" max="6137" width="11.44140625" style="78"/>
    <col min="6138" max="6138" width="30.33203125" style="78" customWidth="1"/>
    <col min="6139" max="6139" width="10.44140625" style="78" customWidth="1"/>
    <col min="6140" max="6141" width="11.44140625" style="78"/>
    <col min="6142" max="6142" width="10.33203125" style="78" customWidth="1"/>
    <col min="6143" max="6143" width="9.5546875" style="78" customWidth="1"/>
    <col min="6144" max="6144" width="13.109375" style="78" customWidth="1"/>
    <col min="6145" max="6145" width="9.88671875" style="78" customWidth="1"/>
    <col min="6146" max="6146" width="9.109375" style="78" customWidth="1"/>
    <col min="6147" max="6148" width="13.88671875" style="78" customWidth="1"/>
    <col min="6149" max="6149" width="10.5546875" style="78" customWidth="1"/>
    <col min="6150" max="6150" width="15.109375" style="78" customWidth="1"/>
    <col min="6151" max="6151" width="20.44140625" style="78" customWidth="1"/>
    <col min="6152" max="6393" width="11.44140625" style="78"/>
    <col min="6394" max="6394" width="30.33203125" style="78" customWidth="1"/>
    <col min="6395" max="6395" width="10.44140625" style="78" customWidth="1"/>
    <col min="6396" max="6397" width="11.44140625" style="78"/>
    <col min="6398" max="6398" width="10.33203125" style="78" customWidth="1"/>
    <col min="6399" max="6399" width="9.5546875" style="78" customWidth="1"/>
    <col min="6400" max="6400" width="13.109375" style="78" customWidth="1"/>
    <col min="6401" max="6401" width="9.88671875" style="78" customWidth="1"/>
    <col min="6402" max="6402" width="9.109375" style="78" customWidth="1"/>
    <col min="6403" max="6404" width="13.88671875" style="78" customWidth="1"/>
    <col min="6405" max="6405" width="10.5546875" style="78" customWidth="1"/>
    <col min="6406" max="6406" width="15.109375" style="78" customWidth="1"/>
    <col min="6407" max="6407" width="20.44140625" style="78" customWidth="1"/>
    <col min="6408" max="6649" width="11.44140625" style="78"/>
    <col min="6650" max="6650" width="30.33203125" style="78" customWidth="1"/>
    <col min="6651" max="6651" width="10.44140625" style="78" customWidth="1"/>
    <col min="6652" max="6653" width="11.44140625" style="78"/>
    <col min="6654" max="6654" width="10.33203125" style="78" customWidth="1"/>
    <col min="6655" max="6655" width="9.5546875" style="78" customWidth="1"/>
    <col min="6656" max="6656" width="13.109375" style="78" customWidth="1"/>
    <col min="6657" max="6657" width="9.88671875" style="78" customWidth="1"/>
    <col min="6658" max="6658" width="9.109375" style="78" customWidth="1"/>
    <col min="6659" max="6660" width="13.88671875" style="78" customWidth="1"/>
    <col min="6661" max="6661" width="10.5546875" style="78" customWidth="1"/>
    <col min="6662" max="6662" width="15.109375" style="78" customWidth="1"/>
    <col min="6663" max="6663" width="20.44140625" style="78" customWidth="1"/>
    <col min="6664" max="6905" width="11.44140625" style="78"/>
    <col min="6906" max="6906" width="30.33203125" style="78" customWidth="1"/>
    <col min="6907" max="6907" width="10.44140625" style="78" customWidth="1"/>
    <col min="6908" max="6909" width="11.44140625" style="78"/>
    <col min="6910" max="6910" width="10.33203125" style="78" customWidth="1"/>
    <col min="6911" max="6911" width="9.5546875" style="78" customWidth="1"/>
    <col min="6912" max="6912" width="13.109375" style="78" customWidth="1"/>
    <col min="6913" max="6913" width="9.88671875" style="78" customWidth="1"/>
    <col min="6914" max="6914" width="9.109375" style="78" customWidth="1"/>
    <col min="6915" max="6916" width="13.88671875" style="78" customWidth="1"/>
    <col min="6917" max="6917" width="10.5546875" style="78" customWidth="1"/>
    <col min="6918" max="6918" width="15.109375" style="78" customWidth="1"/>
    <col min="6919" max="6919" width="20.44140625" style="78" customWidth="1"/>
    <col min="6920" max="7161" width="11.44140625" style="78"/>
    <col min="7162" max="7162" width="30.33203125" style="78" customWidth="1"/>
    <col min="7163" max="7163" width="10.44140625" style="78" customWidth="1"/>
    <col min="7164" max="7165" width="11.44140625" style="78"/>
    <col min="7166" max="7166" width="10.33203125" style="78" customWidth="1"/>
    <col min="7167" max="7167" width="9.5546875" style="78" customWidth="1"/>
    <col min="7168" max="7168" width="13.109375" style="78" customWidth="1"/>
    <col min="7169" max="7169" width="9.88671875" style="78" customWidth="1"/>
    <col min="7170" max="7170" width="9.109375" style="78" customWidth="1"/>
    <col min="7171" max="7172" width="13.88671875" style="78" customWidth="1"/>
    <col min="7173" max="7173" width="10.5546875" style="78" customWidth="1"/>
    <col min="7174" max="7174" width="15.109375" style="78" customWidth="1"/>
    <col min="7175" max="7175" width="20.44140625" style="78" customWidth="1"/>
    <col min="7176" max="7417" width="11.44140625" style="78"/>
    <col min="7418" max="7418" width="30.33203125" style="78" customWidth="1"/>
    <col min="7419" max="7419" width="10.44140625" style="78" customWidth="1"/>
    <col min="7420" max="7421" width="11.44140625" style="78"/>
    <col min="7422" max="7422" width="10.33203125" style="78" customWidth="1"/>
    <col min="7423" max="7423" width="9.5546875" style="78" customWidth="1"/>
    <col min="7424" max="7424" width="13.109375" style="78" customWidth="1"/>
    <col min="7425" max="7425" width="9.88671875" style="78" customWidth="1"/>
    <col min="7426" max="7426" width="9.109375" style="78" customWidth="1"/>
    <col min="7427" max="7428" width="13.88671875" style="78" customWidth="1"/>
    <col min="7429" max="7429" width="10.5546875" style="78" customWidth="1"/>
    <col min="7430" max="7430" width="15.109375" style="78" customWidth="1"/>
    <col min="7431" max="7431" width="20.44140625" style="78" customWidth="1"/>
    <col min="7432" max="7673" width="11.44140625" style="78"/>
    <col min="7674" max="7674" width="30.33203125" style="78" customWidth="1"/>
    <col min="7675" max="7675" width="10.44140625" style="78" customWidth="1"/>
    <col min="7676" max="7677" width="11.44140625" style="78"/>
    <col min="7678" max="7678" width="10.33203125" style="78" customWidth="1"/>
    <col min="7679" max="7679" width="9.5546875" style="78" customWidth="1"/>
    <col min="7680" max="7680" width="13.109375" style="78" customWidth="1"/>
    <col min="7681" max="7681" width="9.88671875" style="78" customWidth="1"/>
    <col min="7682" max="7682" width="9.109375" style="78" customWidth="1"/>
    <col min="7683" max="7684" width="13.88671875" style="78" customWidth="1"/>
    <col min="7685" max="7685" width="10.5546875" style="78" customWidth="1"/>
    <col min="7686" max="7686" width="15.109375" style="78" customWidth="1"/>
    <col min="7687" max="7687" width="20.44140625" style="78" customWidth="1"/>
    <col min="7688" max="7929" width="11.44140625" style="78"/>
    <col min="7930" max="7930" width="30.33203125" style="78" customWidth="1"/>
    <col min="7931" max="7931" width="10.44140625" style="78" customWidth="1"/>
    <col min="7932" max="7933" width="11.44140625" style="78"/>
    <col min="7934" max="7934" width="10.33203125" style="78" customWidth="1"/>
    <col min="7935" max="7935" width="9.5546875" style="78" customWidth="1"/>
    <col min="7936" max="7936" width="13.109375" style="78" customWidth="1"/>
    <col min="7937" max="7937" width="9.88671875" style="78" customWidth="1"/>
    <col min="7938" max="7938" width="9.109375" style="78" customWidth="1"/>
    <col min="7939" max="7940" width="13.88671875" style="78" customWidth="1"/>
    <col min="7941" max="7941" width="10.5546875" style="78" customWidth="1"/>
    <col min="7942" max="7942" width="15.109375" style="78" customWidth="1"/>
    <col min="7943" max="7943" width="20.44140625" style="78" customWidth="1"/>
    <col min="7944" max="8185" width="11.44140625" style="78"/>
    <col min="8186" max="8186" width="30.33203125" style="78" customWidth="1"/>
    <col min="8187" max="8187" width="10.44140625" style="78" customWidth="1"/>
    <col min="8188" max="8189" width="11.44140625" style="78"/>
    <col min="8190" max="8190" width="10.33203125" style="78" customWidth="1"/>
    <col min="8191" max="8191" width="9.5546875" style="78" customWidth="1"/>
    <col min="8192" max="8192" width="13.109375" style="78" customWidth="1"/>
    <col min="8193" max="8193" width="9.88671875" style="78" customWidth="1"/>
    <col min="8194" max="8194" width="9.109375" style="78" customWidth="1"/>
    <col min="8195" max="8196" width="13.88671875" style="78" customWidth="1"/>
    <col min="8197" max="8197" width="10.5546875" style="78" customWidth="1"/>
    <col min="8198" max="8198" width="15.109375" style="78" customWidth="1"/>
    <col min="8199" max="8199" width="20.44140625" style="78" customWidth="1"/>
    <col min="8200" max="8441" width="11.44140625" style="78"/>
    <col min="8442" max="8442" width="30.33203125" style="78" customWidth="1"/>
    <col min="8443" max="8443" width="10.44140625" style="78" customWidth="1"/>
    <col min="8444" max="8445" width="11.44140625" style="78"/>
    <col min="8446" max="8446" width="10.33203125" style="78" customWidth="1"/>
    <col min="8447" max="8447" width="9.5546875" style="78" customWidth="1"/>
    <col min="8448" max="8448" width="13.109375" style="78" customWidth="1"/>
    <col min="8449" max="8449" width="9.88671875" style="78" customWidth="1"/>
    <col min="8450" max="8450" width="9.109375" style="78" customWidth="1"/>
    <col min="8451" max="8452" width="13.88671875" style="78" customWidth="1"/>
    <col min="8453" max="8453" width="10.5546875" style="78" customWidth="1"/>
    <col min="8454" max="8454" width="15.109375" style="78" customWidth="1"/>
    <col min="8455" max="8455" width="20.44140625" style="78" customWidth="1"/>
    <col min="8456" max="8697" width="11.44140625" style="78"/>
    <col min="8698" max="8698" width="30.33203125" style="78" customWidth="1"/>
    <col min="8699" max="8699" width="10.44140625" style="78" customWidth="1"/>
    <col min="8700" max="8701" width="11.44140625" style="78"/>
    <col min="8702" max="8702" width="10.33203125" style="78" customWidth="1"/>
    <col min="8703" max="8703" width="9.5546875" style="78" customWidth="1"/>
    <col min="8704" max="8704" width="13.109375" style="78" customWidth="1"/>
    <col min="8705" max="8705" width="9.88671875" style="78" customWidth="1"/>
    <col min="8706" max="8706" width="9.109375" style="78" customWidth="1"/>
    <col min="8707" max="8708" width="13.88671875" style="78" customWidth="1"/>
    <col min="8709" max="8709" width="10.5546875" style="78" customWidth="1"/>
    <col min="8710" max="8710" width="15.109375" style="78" customWidth="1"/>
    <col min="8711" max="8711" width="20.44140625" style="78" customWidth="1"/>
    <col min="8712" max="8953" width="11.44140625" style="78"/>
    <col min="8954" max="8954" width="30.33203125" style="78" customWidth="1"/>
    <col min="8955" max="8955" width="10.44140625" style="78" customWidth="1"/>
    <col min="8956" max="8957" width="11.44140625" style="78"/>
    <col min="8958" max="8958" width="10.33203125" style="78" customWidth="1"/>
    <col min="8959" max="8959" width="9.5546875" style="78" customWidth="1"/>
    <col min="8960" max="8960" width="13.109375" style="78" customWidth="1"/>
    <col min="8961" max="8961" width="9.88671875" style="78" customWidth="1"/>
    <col min="8962" max="8962" width="9.109375" style="78" customWidth="1"/>
    <col min="8963" max="8964" width="13.88671875" style="78" customWidth="1"/>
    <col min="8965" max="8965" width="10.5546875" style="78" customWidth="1"/>
    <col min="8966" max="8966" width="15.109375" style="78" customWidth="1"/>
    <col min="8967" max="8967" width="20.44140625" style="78" customWidth="1"/>
    <col min="8968" max="9209" width="11.44140625" style="78"/>
    <col min="9210" max="9210" width="30.33203125" style="78" customWidth="1"/>
    <col min="9211" max="9211" width="10.44140625" style="78" customWidth="1"/>
    <col min="9212" max="9213" width="11.44140625" style="78"/>
    <col min="9214" max="9214" width="10.33203125" style="78" customWidth="1"/>
    <col min="9215" max="9215" width="9.5546875" style="78" customWidth="1"/>
    <col min="9216" max="9216" width="13.109375" style="78" customWidth="1"/>
    <col min="9217" max="9217" width="9.88671875" style="78" customWidth="1"/>
    <col min="9218" max="9218" width="9.109375" style="78" customWidth="1"/>
    <col min="9219" max="9220" width="13.88671875" style="78" customWidth="1"/>
    <col min="9221" max="9221" width="10.5546875" style="78" customWidth="1"/>
    <col min="9222" max="9222" width="15.109375" style="78" customWidth="1"/>
    <col min="9223" max="9223" width="20.44140625" style="78" customWidth="1"/>
    <col min="9224" max="9465" width="11.44140625" style="78"/>
    <col min="9466" max="9466" width="30.33203125" style="78" customWidth="1"/>
    <col min="9467" max="9467" width="10.44140625" style="78" customWidth="1"/>
    <col min="9468" max="9469" width="11.44140625" style="78"/>
    <col min="9470" max="9470" width="10.33203125" style="78" customWidth="1"/>
    <col min="9471" max="9471" width="9.5546875" style="78" customWidth="1"/>
    <col min="9472" max="9472" width="13.109375" style="78" customWidth="1"/>
    <col min="9473" max="9473" width="9.88671875" style="78" customWidth="1"/>
    <col min="9474" max="9474" width="9.109375" style="78" customWidth="1"/>
    <col min="9475" max="9476" width="13.88671875" style="78" customWidth="1"/>
    <col min="9477" max="9477" width="10.5546875" style="78" customWidth="1"/>
    <col min="9478" max="9478" width="15.109375" style="78" customWidth="1"/>
    <col min="9479" max="9479" width="20.44140625" style="78" customWidth="1"/>
    <col min="9480" max="9721" width="11.44140625" style="78"/>
    <col min="9722" max="9722" width="30.33203125" style="78" customWidth="1"/>
    <col min="9723" max="9723" width="10.44140625" style="78" customWidth="1"/>
    <col min="9724" max="9725" width="11.44140625" style="78"/>
    <col min="9726" max="9726" width="10.33203125" style="78" customWidth="1"/>
    <col min="9727" max="9727" width="9.5546875" style="78" customWidth="1"/>
    <col min="9728" max="9728" width="13.109375" style="78" customWidth="1"/>
    <col min="9729" max="9729" width="9.88671875" style="78" customWidth="1"/>
    <col min="9730" max="9730" width="9.109375" style="78" customWidth="1"/>
    <col min="9731" max="9732" width="13.88671875" style="78" customWidth="1"/>
    <col min="9733" max="9733" width="10.5546875" style="78" customWidth="1"/>
    <col min="9734" max="9734" width="15.109375" style="78" customWidth="1"/>
    <col min="9735" max="9735" width="20.44140625" style="78" customWidth="1"/>
    <col min="9736" max="9977" width="11.44140625" style="78"/>
    <col min="9978" max="9978" width="30.33203125" style="78" customWidth="1"/>
    <col min="9979" max="9979" width="10.44140625" style="78" customWidth="1"/>
    <col min="9980" max="9981" width="11.44140625" style="78"/>
    <col min="9982" max="9982" width="10.33203125" style="78" customWidth="1"/>
    <col min="9983" max="9983" width="9.5546875" style="78" customWidth="1"/>
    <col min="9984" max="9984" width="13.109375" style="78" customWidth="1"/>
    <col min="9985" max="9985" width="9.88671875" style="78" customWidth="1"/>
    <col min="9986" max="9986" width="9.109375" style="78" customWidth="1"/>
    <col min="9987" max="9988" width="13.88671875" style="78" customWidth="1"/>
    <col min="9989" max="9989" width="10.5546875" style="78" customWidth="1"/>
    <col min="9990" max="9990" width="15.109375" style="78" customWidth="1"/>
    <col min="9991" max="9991" width="20.44140625" style="78" customWidth="1"/>
    <col min="9992" max="10233" width="11.44140625" style="78"/>
    <col min="10234" max="10234" width="30.33203125" style="78" customWidth="1"/>
    <col min="10235" max="10235" width="10.44140625" style="78" customWidth="1"/>
    <col min="10236" max="10237" width="11.44140625" style="78"/>
    <col min="10238" max="10238" width="10.33203125" style="78" customWidth="1"/>
    <col min="10239" max="10239" width="9.5546875" style="78" customWidth="1"/>
    <col min="10240" max="10240" width="13.109375" style="78" customWidth="1"/>
    <col min="10241" max="10241" width="9.88671875" style="78" customWidth="1"/>
    <col min="10242" max="10242" width="9.109375" style="78" customWidth="1"/>
    <col min="10243" max="10244" width="13.88671875" style="78" customWidth="1"/>
    <col min="10245" max="10245" width="10.5546875" style="78" customWidth="1"/>
    <col min="10246" max="10246" width="15.109375" style="78" customWidth="1"/>
    <col min="10247" max="10247" width="20.44140625" style="78" customWidth="1"/>
    <col min="10248" max="10489" width="11.44140625" style="78"/>
    <col min="10490" max="10490" width="30.33203125" style="78" customWidth="1"/>
    <col min="10491" max="10491" width="10.44140625" style="78" customWidth="1"/>
    <col min="10492" max="10493" width="11.44140625" style="78"/>
    <col min="10494" max="10494" width="10.33203125" style="78" customWidth="1"/>
    <col min="10495" max="10495" width="9.5546875" style="78" customWidth="1"/>
    <col min="10496" max="10496" width="13.109375" style="78" customWidth="1"/>
    <col min="10497" max="10497" width="9.88671875" style="78" customWidth="1"/>
    <col min="10498" max="10498" width="9.109375" style="78" customWidth="1"/>
    <col min="10499" max="10500" width="13.88671875" style="78" customWidth="1"/>
    <col min="10501" max="10501" width="10.5546875" style="78" customWidth="1"/>
    <col min="10502" max="10502" width="15.109375" style="78" customWidth="1"/>
    <col min="10503" max="10503" width="20.44140625" style="78" customWidth="1"/>
    <col min="10504" max="10745" width="11.44140625" style="78"/>
    <col min="10746" max="10746" width="30.33203125" style="78" customWidth="1"/>
    <col min="10747" max="10747" width="10.44140625" style="78" customWidth="1"/>
    <col min="10748" max="10749" width="11.44140625" style="78"/>
    <col min="10750" max="10750" width="10.33203125" style="78" customWidth="1"/>
    <col min="10751" max="10751" width="9.5546875" style="78" customWidth="1"/>
    <col min="10752" max="10752" width="13.109375" style="78" customWidth="1"/>
    <col min="10753" max="10753" width="9.88671875" style="78" customWidth="1"/>
    <col min="10754" max="10754" width="9.109375" style="78" customWidth="1"/>
    <col min="10755" max="10756" width="13.88671875" style="78" customWidth="1"/>
    <col min="10757" max="10757" width="10.5546875" style="78" customWidth="1"/>
    <col min="10758" max="10758" width="15.109375" style="78" customWidth="1"/>
    <col min="10759" max="10759" width="20.44140625" style="78" customWidth="1"/>
    <col min="10760" max="11001" width="11.44140625" style="78"/>
    <col min="11002" max="11002" width="30.33203125" style="78" customWidth="1"/>
    <col min="11003" max="11003" width="10.44140625" style="78" customWidth="1"/>
    <col min="11004" max="11005" width="11.44140625" style="78"/>
    <col min="11006" max="11006" width="10.33203125" style="78" customWidth="1"/>
    <col min="11007" max="11007" width="9.5546875" style="78" customWidth="1"/>
    <col min="11008" max="11008" width="13.109375" style="78" customWidth="1"/>
    <col min="11009" max="11009" width="9.88671875" style="78" customWidth="1"/>
    <col min="11010" max="11010" width="9.109375" style="78" customWidth="1"/>
    <col min="11011" max="11012" width="13.88671875" style="78" customWidth="1"/>
    <col min="11013" max="11013" width="10.5546875" style="78" customWidth="1"/>
    <col min="11014" max="11014" width="15.109375" style="78" customWidth="1"/>
    <col min="11015" max="11015" width="20.44140625" style="78" customWidth="1"/>
    <col min="11016" max="11257" width="11.44140625" style="78"/>
    <col min="11258" max="11258" width="30.33203125" style="78" customWidth="1"/>
    <col min="11259" max="11259" width="10.44140625" style="78" customWidth="1"/>
    <col min="11260" max="11261" width="11.44140625" style="78"/>
    <col min="11262" max="11262" width="10.33203125" style="78" customWidth="1"/>
    <col min="11263" max="11263" width="9.5546875" style="78" customWidth="1"/>
    <col min="11264" max="11264" width="13.109375" style="78" customWidth="1"/>
    <col min="11265" max="11265" width="9.88671875" style="78" customWidth="1"/>
    <col min="11266" max="11266" width="9.109375" style="78" customWidth="1"/>
    <col min="11267" max="11268" width="13.88671875" style="78" customWidth="1"/>
    <col min="11269" max="11269" width="10.5546875" style="78" customWidth="1"/>
    <col min="11270" max="11270" width="15.109375" style="78" customWidth="1"/>
    <col min="11271" max="11271" width="20.44140625" style="78" customWidth="1"/>
    <col min="11272" max="11513" width="11.44140625" style="78"/>
    <col min="11514" max="11514" width="30.33203125" style="78" customWidth="1"/>
    <col min="11515" max="11515" width="10.44140625" style="78" customWidth="1"/>
    <col min="11516" max="11517" width="11.44140625" style="78"/>
    <col min="11518" max="11518" width="10.33203125" style="78" customWidth="1"/>
    <col min="11519" max="11519" width="9.5546875" style="78" customWidth="1"/>
    <col min="11520" max="11520" width="13.109375" style="78" customWidth="1"/>
    <col min="11521" max="11521" width="9.88671875" style="78" customWidth="1"/>
    <col min="11522" max="11522" width="9.109375" style="78" customWidth="1"/>
    <col min="11523" max="11524" width="13.88671875" style="78" customWidth="1"/>
    <col min="11525" max="11525" width="10.5546875" style="78" customWidth="1"/>
    <col min="11526" max="11526" width="15.109375" style="78" customWidth="1"/>
    <col min="11527" max="11527" width="20.44140625" style="78" customWidth="1"/>
    <col min="11528" max="11769" width="11.44140625" style="78"/>
    <col min="11770" max="11770" width="30.33203125" style="78" customWidth="1"/>
    <col min="11771" max="11771" width="10.44140625" style="78" customWidth="1"/>
    <col min="11772" max="11773" width="11.44140625" style="78"/>
    <col min="11774" max="11774" width="10.33203125" style="78" customWidth="1"/>
    <col min="11775" max="11775" width="9.5546875" style="78" customWidth="1"/>
    <col min="11776" max="11776" width="13.109375" style="78" customWidth="1"/>
    <col min="11777" max="11777" width="9.88671875" style="78" customWidth="1"/>
    <col min="11778" max="11778" width="9.109375" style="78" customWidth="1"/>
    <col min="11779" max="11780" width="13.88671875" style="78" customWidth="1"/>
    <col min="11781" max="11781" width="10.5546875" style="78" customWidth="1"/>
    <col min="11782" max="11782" width="15.109375" style="78" customWidth="1"/>
    <col min="11783" max="11783" width="20.44140625" style="78" customWidth="1"/>
    <col min="11784" max="12025" width="11.44140625" style="78"/>
    <col min="12026" max="12026" width="30.33203125" style="78" customWidth="1"/>
    <col min="12027" max="12027" width="10.44140625" style="78" customWidth="1"/>
    <col min="12028" max="12029" width="11.44140625" style="78"/>
    <col min="12030" max="12030" width="10.33203125" style="78" customWidth="1"/>
    <col min="12031" max="12031" width="9.5546875" style="78" customWidth="1"/>
    <col min="12032" max="12032" width="13.109375" style="78" customWidth="1"/>
    <col min="12033" max="12033" width="9.88671875" style="78" customWidth="1"/>
    <col min="12034" max="12034" width="9.109375" style="78" customWidth="1"/>
    <col min="12035" max="12036" width="13.88671875" style="78" customWidth="1"/>
    <col min="12037" max="12037" width="10.5546875" style="78" customWidth="1"/>
    <col min="12038" max="12038" width="15.109375" style="78" customWidth="1"/>
    <col min="12039" max="12039" width="20.44140625" style="78" customWidth="1"/>
    <col min="12040" max="12281" width="11.44140625" style="78"/>
    <col min="12282" max="12282" width="30.33203125" style="78" customWidth="1"/>
    <col min="12283" max="12283" width="10.44140625" style="78" customWidth="1"/>
    <col min="12284" max="12285" width="11.44140625" style="78"/>
    <col min="12286" max="12286" width="10.33203125" style="78" customWidth="1"/>
    <col min="12287" max="12287" width="9.5546875" style="78" customWidth="1"/>
    <col min="12288" max="12288" width="13.109375" style="78" customWidth="1"/>
    <col min="12289" max="12289" width="9.88671875" style="78" customWidth="1"/>
    <col min="12290" max="12290" width="9.109375" style="78" customWidth="1"/>
    <col min="12291" max="12292" width="13.88671875" style="78" customWidth="1"/>
    <col min="12293" max="12293" width="10.5546875" style="78" customWidth="1"/>
    <col min="12294" max="12294" width="15.109375" style="78" customWidth="1"/>
    <col min="12295" max="12295" width="20.44140625" style="78" customWidth="1"/>
    <col min="12296" max="12537" width="11.44140625" style="78"/>
    <col min="12538" max="12538" width="30.33203125" style="78" customWidth="1"/>
    <col min="12539" max="12539" width="10.44140625" style="78" customWidth="1"/>
    <col min="12540" max="12541" width="11.44140625" style="78"/>
    <col min="12542" max="12542" width="10.33203125" style="78" customWidth="1"/>
    <col min="12543" max="12543" width="9.5546875" style="78" customWidth="1"/>
    <col min="12544" max="12544" width="13.109375" style="78" customWidth="1"/>
    <col min="12545" max="12545" width="9.88671875" style="78" customWidth="1"/>
    <col min="12546" max="12546" width="9.109375" style="78" customWidth="1"/>
    <col min="12547" max="12548" width="13.88671875" style="78" customWidth="1"/>
    <col min="12549" max="12549" width="10.5546875" style="78" customWidth="1"/>
    <col min="12550" max="12550" width="15.109375" style="78" customWidth="1"/>
    <col min="12551" max="12551" width="20.44140625" style="78" customWidth="1"/>
    <col min="12552" max="12793" width="11.44140625" style="78"/>
    <col min="12794" max="12794" width="30.33203125" style="78" customWidth="1"/>
    <col min="12795" max="12795" width="10.44140625" style="78" customWidth="1"/>
    <col min="12796" max="12797" width="11.44140625" style="78"/>
    <col min="12798" max="12798" width="10.33203125" style="78" customWidth="1"/>
    <col min="12799" max="12799" width="9.5546875" style="78" customWidth="1"/>
    <col min="12800" max="12800" width="13.109375" style="78" customWidth="1"/>
    <col min="12801" max="12801" width="9.88671875" style="78" customWidth="1"/>
    <col min="12802" max="12802" width="9.109375" style="78" customWidth="1"/>
    <col min="12803" max="12804" width="13.88671875" style="78" customWidth="1"/>
    <col min="12805" max="12805" width="10.5546875" style="78" customWidth="1"/>
    <col min="12806" max="12806" width="15.109375" style="78" customWidth="1"/>
    <col min="12807" max="12807" width="20.44140625" style="78" customWidth="1"/>
    <col min="12808" max="13049" width="11.44140625" style="78"/>
    <col min="13050" max="13050" width="30.33203125" style="78" customWidth="1"/>
    <col min="13051" max="13051" width="10.44140625" style="78" customWidth="1"/>
    <col min="13052" max="13053" width="11.44140625" style="78"/>
    <col min="13054" max="13054" width="10.33203125" style="78" customWidth="1"/>
    <col min="13055" max="13055" width="9.5546875" style="78" customWidth="1"/>
    <col min="13056" max="13056" width="13.109375" style="78" customWidth="1"/>
    <col min="13057" max="13057" width="9.88671875" style="78" customWidth="1"/>
    <col min="13058" max="13058" width="9.109375" style="78" customWidth="1"/>
    <col min="13059" max="13060" width="13.88671875" style="78" customWidth="1"/>
    <col min="13061" max="13061" width="10.5546875" style="78" customWidth="1"/>
    <col min="13062" max="13062" width="15.109375" style="78" customWidth="1"/>
    <col min="13063" max="13063" width="20.44140625" style="78" customWidth="1"/>
    <col min="13064" max="13305" width="11.44140625" style="78"/>
    <col min="13306" max="13306" width="30.33203125" style="78" customWidth="1"/>
    <col min="13307" max="13307" width="10.44140625" style="78" customWidth="1"/>
    <col min="13308" max="13309" width="11.44140625" style="78"/>
    <col min="13310" max="13310" width="10.33203125" style="78" customWidth="1"/>
    <col min="13311" max="13311" width="9.5546875" style="78" customWidth="1"/>
    <col min="13312" max="13312" width="13.109375" style="78" customWidth="1"/>
    <col min="13313" max="13313" width="9.88671875" style="78" customWidth="1"/>
    <col min="13314" max="13314" width="9.109375" style="78" customWidth="1"/>
    <col min="13315" max="13316" width="13.88671875" style="78" customWidth="1"/>
    <col min="13317" max="13317" width="10.5546875" style="78" customWidth="1"/>
    <col min="13318" max="13318" width="15.109375" style="78" customWidth="1"/>
    <col min="13319" max="13319" width="20.44140625" style="78" customWidth="1"/>
    <col min="13320" max="13561" width="11.44140625" style="78"/>
    <col min="13562" max="13562" width="30.33203125" style="78" customWidth="1"/>
    <col min="13563" max="13563" width="10.44140625" style="78" customWidth="1"/>
    <col min="13564" max="13565" width="11.44140625" style="78"/>
    <col min="13566" max="13566" width="10.33203125" style="78" customWidth="1"/>
    <col min="13567" max="13567" width="9.5546875" style="78" customWidth="1"/>
    <col min="13568" max="13568" width="13.109375" style="78" customWidth="1"/>
    <col min="13569" max="13569" width="9.88671875" style="78" customWidth="1"/>
    <col min="13570" max="13570" width="9.109375" style="78" customWidth="1"/>
    <col min="13571" max="13572" width="13.88671875" style="78" customWidth="1"/>
    <col min="13573" max="13573" width="10.5546875" style="78" customWidth="1"/>
    <col min="13574" max="13574" width="15.109375" style="78" customWidth="1"/>
    <col min="13575" max="13575" width="20.44140625" style="78" customWidth="1"/>
    <col min="13576" max="13817" width="11.44140625" style="78"/>
    <col min="13818" max="13818" width="30.33203125" style="78" customWidth="1"/>
    <col min="13819" max="13819" width="10.44140625" style="78" customWidth="1"/>
    <col min="13820" max="13821" width="11.44140625" style="78"/>
    <col min="13822" max="13822" width="10.33203125" style="78" customWidth="1"/>
    <col min="13823" max="13823" width="9.5546875" style="78" customWidth="1"/>
    <col min="13824" max="13824" width="13.109375" style="78" customWidth="1"/>
    <col min="13825" max="13825" width="9.88671875" style="78" customWidth="1"/>
    <col min="13826" max="13826" width="9.109375" style="78" customWidth="1"/>
    <col min="13827" max="13828" width="13.88671875" style="78" customWidth="1"/>
    <col min="13829" max="13829" width="10.5546875" style="78" customWidth="1"/>
    <col min="13830" max="13830" width="15.109375" style="78" customWidth="1"/>
    <col min="13831" max="13831" width="20.44140625" style="78" customWidth="1"/>
    <col min="13832" max="14073" width="11.44140625" style="78"/>
    <col min="14074" max="14074" width="30.33203125" style="78" customWidth="1"/>
    <col min="14075" max="14075" width="10.44140625" style="78" customWidth="1"/>
    <col min="14076" max="14077" width="11.44140625" style="78"/>
    <col min="14078" max="14078" width="10.33203125" style="78" customWidth="1"/>
    <col min="14079" max="14079" width="9.5546875" style="78" customWidth="1"/>
    <col min="14080" max="14080" width="13.109375" style="78" customWidth="1"/>
    <col min="14081" max="14081" width="9.88671875" style="78" customWidth="1"/>
    <col min="14082" max="14082" width="9.109375" style="78" customWidth="1"/>
    <col min="14083" max="14084" width="13.88671875" style="78" customWidth="1"/>
    <col min="14085" max="14085" width="10.5546875" style="78" customWidth="1"/>
    <col min="14086" max="14086" width="15.109375" style="78" customWidth="1"/>
    <col min="14087" max="14087" width="20.44140625" style="78" customWidth="1"/>
    <col min="14088" max="14329" width="11.44140625" style="78"/>
    <col min="14330" max="14330" width="30.33203125" style="78" customWidth="1"/>
    <col min="14331" max="14331" width="10.44140625" style="78" customWidth="1"/>
    <col min="14332" max="14333" width="11.44140625" style="78"/>
    <col min="14334" max="14334" width="10.33203125" style="78" customWidth="1"/>
    <col min="14335" max="14335" width="9.5546875" style="78" customWidth="1"/>
    <col min="14336" max="14336" width="13.109375" style="78" customWidth="1"/>
    <col min="14337" max="14337" width="9.88671875" style="78" customWidth="1"/>
    <col min="14338" max="14338" width="9.109375" style="78" customWidth="1"/>
    <col min="14339" max="14340" width="13.88671875" style="78" customWidth="1"/>
    <col min="14341" max="14341" width="10.5546875" style="78" customWidth="1"/>
    <col min="14342" max="14342" width="15.109375" style="78" customWidth="1"/>
    <col min="14343" max="14343" width="20.44140625" style="78" customWidth="1"/>
    <col min="14344" max="14585" width="11.44140625" style="78"/>
    <col min="14586" max="14586" width="30.33203125" style="78" customWidth="1"/>
    <col min="14587" max="14587" width="10.44140625" style="78" customWidth="1"/>
    <col min="14588" max="14589" width="11.44140625" style="78"/>
    <col min="14590" max="14590" width="10.33203125" style="78" customWidth="1"/>
    <col min="14591" max="14591" width="9.5546875" style="78" customWidth="1"/>
    <col min="14592" max="14592" width="13.109375" style="78" customWidth="1"/>
    <col min="14593" max="14593" width="9.88671875" style="78" customWidth="1"/>
    <col min="14594" max="14594" width="9.109375" style="78" customWidth="1"/>
    <col min="14595" max="14596" width="13.88671875" style="78" customWidth="1"/>
    <col min="14597" max="14597" width="10.5546875" style="78" customWidth="1"/>
    <col min="14598" max="14598" width="15.109375" style="78" customWidth="1"/>
    <col min="14599" max="14599" width="20.44140625" style="78" customWidth="1"/>
    <col min="14600" max="14841" width="11.44140625" style="78"/>
    <col min="14842" max="14842" width="30.33203125" style="78" customWidth="1"/>
    <col min="14843" max="14843" width="10.44140625" style="78" customWidth="1"/>
    <col min="14844" max="14845" width="11.44140625" style="78"/>
    <col min="14846" max="14846" width="10.33203125" style="78" customWidth="1"/>
    <col min="14847" max="14847" width="9.5546875" style="78" customWidth="1"/>
    <col min="14848" max="14848" width="13.109375" style="78" customWidth="1"/>
    <col min="14849" max="14849" width="9.88671875" style="78" customWidth="1"/>
    <col min="14850" max="14850" width="9.109375" style="78" customWidth="1"/>
    <col min="14851" max="14852" width="13.88671875" style="78" customWidth="1"/>
    <col min="14853" max="14853" width="10.5546875" style="78" customWidth="1"/>
    <col min="14854" max="14854" width="15.109375" style="78" customWidth="1"/>
    <col min="14855" max="14855" width="20.44140625" style="78" customWidth="1"/>
    <col min="14856" max="15097" width="11.44140625" style="78"/>
    <col min="15098" max="15098" width="30.33203125" style="78" customWidth="1"/>
    <col min="15099" max="15099" width="10.44140625" style="78" customWidth="1"/>
    <col min="15100" max="15101" width="11.44140625" style="78"/>
    <col min="15102" max="15102" width="10.33203125" style="78" customWidth="1"/>
    <col min="15103" max="15103" width="9.5546875" style="78" customWidth="1"/>
    <col min="15104" max="15104" width="13.109375" style="78" customWidth="1"/>
    <col min="15105" max="15105" width="9.88671875" style="78" customWidth="1"/>
    <col min="15106" max="15106" width="9.109375" style="78" customWidth="1"/>
    <col min="15107" max="15108" width="13.88671875" style="78" customWidth="1"/>
    <col min="15109" max="15109" width="10.5546875" style="78" customWidth="1"/>
    <col min="15110" max="15110" width="15.109375" style="78" customWidth="1"/>
    <col min="15111" max="15111" width="20.44140625" style="78" customWidth="1"/>
    <col min="15112" max="15353" width="11.44140625" style="78"/>
    <col min="15354" max="15354" width="30.33203125" style="78" customWidth="1"/>
    <col min="15355" max="15355" width="10.44140625" style="78" customWidth="1"/>
    <col min="15356" max="15357" width="11.44140625" style="78"/>
    <col min="15358" max="15358" width="10.33203125" style="78" customWidth="1"/>
    <col min="15359" max="15359" width="9.5546875" style="78" customWidth="1"/>
    <col min="15360" max="15360" width="13.109375" style="78" customWidth="1"/>
    <col min="15361" max="15361" width="9.88671875" style="78" customWidth="1"/>
    <col min="15362" max="15362" width="9.109375" style="78" customWidth="1"/>
    <col min="15363" max="15364" width="13.88671875" style="78" customWidth="1"/>
    <col min="15365" max="15365" width="10.5546875" style="78" customWidth="1"/>
    <col min="15366" max="15366" width="15.109375" style="78" customWidth="1"/>
    <col min="15367" max="15367" width="20.44140625" style="78" customWidth="1"/>
    <col min="15368" max="15609" width="11.44140625" style="78"/>
    <col min="15610" max="15610" width="30.33203125" style="78" customWidth="1"/>
    <col min="15611" max="15611" width="10.44140625" style="78" customWidth="1"/>
    <col min="15612" max="15613" width="11.44140625" style="78"/>
    <col min="15614" max="15614" width="10.33203125" style="78" customWidth="1"/>
    <col min="15615" max="15615" width="9.5546875" style="78" customWidth="1"/>
    <col min="15616" max="15616" width="13.109375" style="78" customWidth="1"/>
    <col min="15617" max="15617" width="9.88671875" style="78" customWidth="1"/>
    <col min="15618" max="15618" width="9.109375" style="78" customWidth="1"/>
    <col min="15619" max="15620" width="13.88671875" style="78" customWidth="1"/>
    <col min="15621" max="15621" width="10.5546875" style="78" customWidth="1"/>
    <col min="15622" max="15622" width="15.109375" style="78" customWidth="1"/>
    <col min="15623" max="15623" width="20.44140625" style="78" customWidth="1"/>
    <col min="15624" max="15865" width="11.44140625" style="78"/>
    <col min="15866" max="15866" width="30.33203125" style="78" customWidth="1"/>
    <col min="15867" max="15867" width="10.44140625" style="78" customWidth="1"/>
    <col min="15868" max="15869" width="11.44140625" style="78"/>
    <col min="15870" max="15870" width="10.33203125" style="78" customWidth="1"/>
    <col min="15871" max="15871" width="9.5546875" style="78" customWidth="1"/>
    <col min="15872" max="15872" width="13.109375" style="78" customWidth="1"/>
    <col min="15873" max="15873" width="9.88671875" style="78" customWidth="1"/>
    <col min="15874" max="15874" width="9.109375" style="78" customWidth="1"/>
    <col min="15875" max="15876" width="13.88671875" style="78" customWidth="1"/>
    <col min="15877" max="15877" width="10.5546875" style="78" customWidth="1"/>
    <col min="15878" max="15878" width="15.109375" style="78" customWidth="1"/>
    <col min="15879" max="15879" width="20.44140625" style="78" customWidth="1"/>
    <col min="15880" max="16121" width="11.44140625" style="78"/>
    <col min="16122" max="16122" width="30.33203125" style="78" customWidth="1"/>
    <col min="16123" max="16123" width="10.44140625" style="78" customWidth="1"/>
    <col min="16124" max="16125" width="11.44140625" style="78"/>
    <col min="16126" max="16126" width="10.33203125" style="78" customWidth="1"/>
    <col min="16127" max="16127" width="9.5546875" style="78" customWidth="1"/>
    <col min="16128" max="16128" width="13.109375" style="78" customWidth="1"/>
    <col min="16129" max="16129" width="9.88671875" style="78" customWidth="1"/>
    <col min="16130" max="16130" width="9.109375" style="78" customWidth="1"/>
    <col min="16131" max="16132" width="13.88671875" style="78" customWidth="1"/>
    <col min="16133" max="16133" width="10.5546875" style="78" customWidth="1"/>
    <col min="16134" max="16134" width="15.109375" style="78" customWidth="1"/>
    <col min="16135" max="16135" width="20.44140625" style="78" customWidth="1"/>
    <col min="16136" max="16384" width="11.44140625" style="78"/>
  </cols>
  <sheetData>
    <row r="1" spans="1:14" ht="15" thickBot="1" x14ac:dyDescent="0.35"/>
    <row r="2" spans="1:14" ht="26.4" customHeight="1" thickBot="1" x14ac:dyDescent="0.35">
      <c r="B2" s="161" t="s">
        <v>43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4" x14ac:dyDescent="0.3">
      <c r="A3" s="81"/>
      <c r="B3" s="82"/>
    </row>
    <row r="4" spans="1:14" ht="15" thickBot="1" x14ac:dyDescent="0.35">
      <c r="A4" s="81"/>
      <c r="G4" s="78"/>
      <c r="H4" s="78"/>
      <c r="I4" s="78"/>
      <c r="J4" s="78"/>
      <c r="K4" s="78"/>
    </row>
    <row r="5" spans="1:14" ht="58.2" thickBot="1" x14ac:dyDescent="0.35">
      <c r="A5" s="94" t="s">
        <v>12</v>
      </c>
      <c r="B5" s="94" t="s">
        <v>9</v>
      </c>
      <c r="C5" s="95" t="s">
        <v>31</v>
      </c>
      <c r="D5" s="94" t="s">
        <v>0</v>
      </c>
      <c r="E5" s="94" t="s">
        <v>1</v>
      </c>
      <c r="F5" s="96" t="s">
        <v>32</v>
      </c>
      <c r="G5" s="97" t="s">
        <v>5</v>
      </c>
      <c r="H5" s="97" t="s">
        <v>34</v>
      </c>
      <c r="I5" s="98" t="s">
        <v>33</v>
      </c>
      <c r="J5" s="97" t="s">
        <v>5</v>
      </c>
      <c r="K5" s="98" t="s">
        <v>35</v>
      </c>
      <c r="M5" s="153" t="s">
        <v>52</v>
      </c>
      <c r="N5" s="154"/>
    </row>
    <row r="6" spans="1:14" s="87" customFormat="1" x14ac:dyDescent="0.3">
      <c r="A6" s="83"/>
      <c r="B6" s="83"/>
      <c r="C6" s="143">
        <f>SUM(H6+K6)</f>
        <v>0</v>
      </c>
      <c r="D6" s="83"/>
      <c r="E6" s="83"/>
      <c r="F6" s="127"/>
      <c r="G6" s="85">
        <v>7000</v>
      </c>
      <c r="H6" s="84">
        <f>F6*G6</f>
        <v>0</v>
      </c>
      <c r="I6" s="127"/>
      <c r="J6" s="84">
        <v>9000</v>
      </c>
      <c r="K6" s="86">
        <f>SUM(I6*J6)</f>
        <v>0</v>
      </c>
    </row>
    <row r="7" spans="1:14" s="87" customFormat="1" x14ac:dyDescent="0.3">
      <c r="A7" s="83"/>
      <c r="B7" s="83"/>
      <c r="C7" s="143">
        <f t="shared" ref="C7:C69" si="0">SUM(H7+K7)</f>
        <v>0</v>
      </c>
      <c r="D7" s="83"/>
      <c r="E7" s="83"/>
      <c r="F7" s="83"/>
      <c r="G7" s="85">
        <v>7000</v>
      </c>
      <c r="H7" s="84">
        <f>F7*G7</f>
        <v>0</v>
      </c>
      <c r="I7" s="83"/>
      <c r="J7" s="84">
        <v>9000</v>
      </c>
      <c r="K7" s="86">
        <f t="shared" ref="K7:K69" si="1">SUM(I7*J7)</f>
        <v>0</v>
      </c>
    </row>
    <row r="8" spans="1:14" s="87" customFormat="1" x14ac:dyDescent="0.3">
      <c r="A8" s="83"/>
      <c r="B8" s="83"/>
      <c r="C8" s="143">
        <f t="shared" si="0"/>
        <v>0</v>
      </c>
      <c r="D8" s="83"/>
      <c r="E8" s="83"/>
      <c r="F8" s="83"/>
      <c r="G8" s="85">
        <v>7000</v>
      </c>
      <c r="H8" s="84">
        <f>F8*G8</f>
        <v>0</v>
      </c>
      <c r="I8" s="83"/>
      <c r="J8" s="84">
        <v>9000</v>
      </c>
      <c r="K8" s="86">
        <f t="shared" si="1"/>
        <v>0</v>
      </c>
    </row>
    <row r="9" spans="1:14" s="87" customFormat="1" x14ac:dyDescent="0.3">
      <c r="A9" s="83"/>
      <c r="B9" s="83"/>
      <c r="C9" s="143">
        <f t="shared" si="0"/>
        <v>0</v>
      </c>
      <c r="D9" s="83"/>
      <c r="E9" s="83"/>
      <c r="F9" s="83"/>
      <c r="G9" s="85">
        <v>7000</v>
      </c>
      <c r="H9" s="84">
        <f>F9*G9</f>
        <v>0</v>
      </c>
      <c r="I9" s="83"/>
      <c r="J9" s="84">
        <v>9000</v>
      </c>
      <c r="K9" s="86">
        <f t="shared" si="1"/>
        <v>0</v>
      </c>
    </row>
    <row r="10" spans="1:14" s="87" customFormat="1" x14ac:dyDescent="0.3">
      <c r="A10" s="83"/>
      <c r="B10" s="83"/>
      <c r="C10" s="143">
        <f t="shared" si="0"/>
        <v>0</v>
      </c>
      <c r="D10" s="83"/>
      <c r="E10" s="83"/>
      <c r="F10" s="83"/>
      <c r="G10" s="85">
        <v>7000</v>
      </c>
      <c r="H10" s="84">
        <f>F10*G10</f>
        <v>0</v>
      </c>
      <c r="I10" s="83"/>
      <c r="J10" s="84">
        <v>9000</v>
      </c>
      <c r="K10" s="86">
        <f t="shared" si="1"/>
        <v>0</v>
      </c>
    </row>
    <row r="11" spans="1:14" s="87" customFormat="1" x14ac:dyDescent="0.3">
      <c r="A11" s="83"/>
      <c r="B11" s="83"/>
      <c r="C11" s="143">
        <f t="shared" si="0"/>
        <v>0</v>
      </c>
      <c r="D11" s="83"/>
      <c r="E11" s="83"/>
      <c r="F11" s="83"/>
      <c r="G11" s="85">
        <v>7000</v>
      </c>
      <c r="H11" s="85">
        <f t="shared" ref="H11:H69" si="2">SUM(F11*G11)</f>
        <v>0</v>
      </c>
      <c r="I11" s="83"/>
      <c r="J11" s="84">
        <v>9000</v>
      </c>
      <c r="K11" s="86">
        <f t="shared" si="1"/>
        <v>0</v>
      </c>
    </row>
    <row r="12" spans="1:14" s="87" customFormat="1" x14ac:dyDescent="0.3">
      <c r="A12" s="83"/>
      <c r="B12" s="83"/>
      <c r="C12" s="143">
        <f t="shared" si="0"/>
        <v>0</v>
      </c>
      <c r="D12" s="83"/>
      <c r="E12" s="83"/>
      <c r="F12" s="83"/>
      <c r="G12" s="85">
        <v>7000</v>
      </c>
      <c r="H12" s="85">
        <f t="shared" si="2"/>
        <v>0</v>
      </c>
      <c r="I12" s="83"/>
      <c r="J12" s="84">
        <v>9000</v>
      </c>
      <c r="K12" s="86">
        <f t="shared" si="1"/>
        <v>0</v>
      </c>
    </row>
    <row r="13" spans="1:14" s="87" customFormat="1" x14ac:dyDescent="0.3">
      <c r="A13" s="83"/>
      <c r="B13" s="83"/>
      <c r="C13" s="143">
        <f t="shared" si="0"/>
        <v>0</v>
      </c>
      <c r="D13" s="83"/>
      <c r="E13" s="83"/>
      <c r="F13" s="83"/>
      <c r="G13" s="85">
        <v>7000</v>
      </c>
      <c r="H13" s="85">
        <f t="shared" si="2"/>
        <v>0</v>
      </c>
      <c r="I13" s="83"/>
      <c r="J13" s="84">
        <v>9000</v>
      </c>
      <c r="K13" s="86">
        <f t="shared" si="1"/>
        <v>0</v>
      </c>
    </row>
    <row r="14" spans="1:14" s="87" customFormat="1" x14ac:dyDescent="0.3">
      <c r="A14" s="83"/>
      <c r="B14" s="83"/>
      <c r="C14" s="143">
        <f t="shared" si="0"/>
        <v>0</v>
      </c>
      <c r="D14" s="83"/>
      <c r="E14" s="83"/>
      <c r="F14" s="83"/>
      <c r="G14" s="85">
        <v>7000</v>
      </c>
      <c r="H14" s="85">
        <f t="shared" si="2"/>
        <v>0</v>
      </c>
      <c r="I14" s="83"/>
      <c r="J14" s="84">
        <v>9000</v>
      </c>
      <c r="K14" s="86">
        <f t="shared" si="1"/>
        <v>0</v>
      </c>
    </row>
    <row r="15" spans="1:14" s="87" customFormat="1" x14ac:dyDescent="0.3">
      <c r="A15" s="83"/>
      <c r="B15" s="83"/>
      <c r="C15" s="143">
        <f t="shared" si="0"/>
        <v>0</v>
      </c>
      <c r="D15" s="83"/>
      <c r="E15" s="83"/>
      <c r="F15" s="83"/>
      <c r="G15" s="85">
        <v>7000</v>
      </c>
      <c r="H15" s="85">
        <f t="shared" si="2"/>
        <v>0</v>
      </c>
      <c r="I15" s="83"/>
      <c r="J15" s="84">
        <v>9000</v>
      </c>
      <c r="K15" s="86">
        <f t="shared" si="1"/>
        <v>0</v>
      </c>
    </row>
    <row r="16" spans="1:14" s="87" customFormat="1" x14ac:dyDescent="0.3">
      <c r="A16" s="83"/>
      <c r="B16" s="83"/>
      <c r="C16" s="143">
        <f t="shared" si="0"/>
        <v>0</v>
      </c>
      <c r="D16" s="83"/>
      <c r="E16" s="83"/>
      <c r="F16" s="83"/>
      <c r="G16" s="85">
        <v>7000</v>
      </c>
      <c r="H16" s="85">
        <f t="shared" si="2"/>
        <v>0</v>
      </c>
      <c r="I16" s="83"/>
      <c r="J16" s="84">
        <v>9000</v>
      </c>
      <c r="K16" s="86">
        <f t="shared" si="1"/>
        <v>0</v>
      </c>
    </row>
    <row r="17" spans="1:11" s="87" customFormat="1" x14ac:dyDescent="0.3">
      <c r="A17" s="83"/>
      <c r="B17" s="83"/>
      <c r="C17" s="143">
        <f t="shared" si="0"/>
        <v>0</v>
      </c>
      <c r="D17" s="83"/>
      <c r="E17" s="83"/>
      <c r="F17" s="83"/>
      <c r="G17" s="85">
        <v>7000</v>
      </c>
      <c r="H17" s="85">
        <f t="shared" si="2"/>
        <v>0</v>
      </c>
      <c r="I17" s="83"/>
      <c r="J17" s="84">
        <v>9000</v>
      </c>
      <c r="K17" s="86">
        <f t="shared" si="1"/>
        <v>0</v>
      </c>
    </row>
    <row r="18" spans="1:11" s="87" customFormat="1" x14ac:dyDescent="0.3">
      <c r="A18" s="83"/>
      <c r="B18" s="83"/>
      <c r="C18" s="143">
        <f t="shared" si="0"/>
        <v>0</v>
      </c>
      <c r="D18" s="83"/>
      <c r="E18" s="83"/>
      <c r="F18" s="83"/>
      <c r="G18" s="85">
        <v>7000</v>
      </c>
      <c r="H18" s="85">
        <f t="shared" si="2"/>
        <v>0</v>
      </c>
      <c r="I18" s="83"/>
      <c r="J18" s="84">
        <v>9000</v>
      </c>
      <c r="K18" s="86">
        <f t="shared" si="1"/>
        <v>0</v>
      </c>
    </row>
    <row r="19" spans="1:11" s="87" customFormat="1" x14ac:dyDescent="0.3">
      <c r="A19" s="83"/>
      <c r="B19" s="83"/>
      <c r="C19" s="143">
        <f t="shared" si="0"/>
        <v>0</v>
      </c>
      <c r="D19" s="83"/>
      <c r="E19" s="83"/>
      <c r="F19" s="83"/>
      <c r="G19" s="85">
        <v>7000</v>
      </c>
      <c r="H19" s="85">
        <f t="shared" si="2"/>
        <v>0</v>
      </c>
      <c r="I19" s="83"/>
      <c r="J19" s="84">
        <v>9000</v>
      </c>
      <c r="K19" s="86">
        <f t="shared" si="1"/>
        <v>0</v>
      </c>
    </row>
    <row r="20" spans="1:11" s="87" customFormat="1" x14ac:dyDescent="0.3">
      <c r="A20" s="83"/>
      <c r="B20" s="83"/>
      <c r="C20" s="143">
        <f t="shared" si="0"/>
        <v>0</v>
      </c>
      <c r="D20" s="83"/>
      <c r="E20" s="83"/>
      <c r="F20" s="83"/>
      <c r="G20" s="85">
        <v>7000</v>
      </c>
      <c r="H20" s="85">
        <f t="shared" si="2"/>
        <v>0</v>
      </c>
      <c r="I20" s="83"/>
      <c r="J20" s="84">
        <v>9000</v>
      </c>
      <c r="K20" s="86">
        <f t="shared" si="1"/>
        <v>0</v>
      </c>
    </row>
    <row r="21" spans="1:11" s="87" customFormat="1" x14ac:dyDescent="0.3">
      <c r="A21" s="83"/>
      <c r="B21" s="83"/>
      <c r="C21" s="143">
        <f t="shared" si="0"/>
        <v>0</v>
      </c>
      <c r="D21" s="83"/>
      <c r="E21" s="83"/>
      <c r="F21" s="83"/>
      <c r="G21" s="85">
        <v>7000</v>
      </c>
      <c r="H21" s="85">
        <f t="shared" si="2"/>
        <v>0</v>
      </c>
      <c r="I21" s="83"/>
      <c r="J21" s="84">
        <v>9000</v>
      </c>
      <c r="K21" s="86">
        <f t="shared" si="1"/>
        <v>0</v>
      </c>
    </row>
    <row r="22" spans="1:11" s="87" customFormat="1" x14ac:dyDescent="0.3">
      <c r="A22" s="83"/>
      <c r="B22" s="83"/>
      <c r="C22" s="143">
        <f t="shared" si="0"/>
        <v>0</v>
      </c>
      <c r="D22" s="83"/>
      <c r="E22" s="83"/>
      <c r="F22" s="83"/>
      <c r="G22" s="85">
        <v>7000</v>
      </c>
      <c r="H22" s="85">
        <f t="shared" si="2"/>
        <v>0</v>
      </c>
      <c r="I22" s="83"/>
      <c r="J22" s="84">
        <v>9000</v>
      </c>
      <c r="K22" s="86">
        <f t="shared" si="1"/>
        <v>0</v>
      </c>
    </row>
    <row r="23" spans="1:11" s="87" customFormat="1" x14ac:dyDescent="0.3">
      <c r="A23" s="83"/>
      <c r="B23" s="83"/>
      <c r="C23" s="143">
        <f t="shared" si="0"/>
        <v>0</v>
      </c>
      <c r="D23" s="83"/>
      <c r="E23" s="83"/>
      <c r="F23" s="83"/>
      <c r="G23" s="85">
        <v>7000</v>
      </c>
      <c r="H23" s="85">
        <f t="shared" si="2"/>
        <v>0</v>
      </c>
      <c r="I23" s="83"/>
      <c r="J23" s="84">
        <v>9000</v>
      </c>
      <c r="K23" s="86">
        <f t="shared" si="1"/>
        <v>0</v>
      </c>
    </row>
    <row r="24" spans="1:11" s="87" customFormat="1" x14ac:dyDescent="0.3">
      <c r="A24" s="83"/>
      <c r="B24" s="83"/>
      <c r="C24" s="143">
        <f t="shared" si="0"/>
        <v>0</v>
      </c>
      <c r="D24" s="83"/>
      <c r="E24" s="83"/>
      <c r="F24" s="83"/>
      <c r="G24" s="85">
        <v>7000</v>
      </c>
      <c r="H24" s="85">
        <f t="shared" si="2"/>
        <v>0</v>
      </c>
      <c r="I24" s="83"/>
      <c r="J24" s="84">
        <v>9000</v>
      </c>
      <c r="K24" s="86">
        <f t="shared" si="1"/>
        <v>0</v>
      </c>
    </row>
    <row r="25" spans="1:11" s="87" customFormat="1" x14ac:dyDescent="0.3">
      <c r="A25" s="83"/>
      <c r="B25" s="83"/>
      <c r="C25" s="143">
        <f t="shared" si="0"/>
        <v>0</v>
      </c>
      <c r="D25" s="83"/>
      <c r="E25" s="83"/>
      <c r="F25" s="83"/>
      <c r="G25" s="85">
        <v>7000</v>
      </c>
      <c r="H25" s="85">
        <f t="shared" si="2"/>
        <v>0</v>
      </c>
      <c r="I25" s="83"/>
      <c r="J25" s="84">
        <v>9000</v>
      </c>
      <c r="K25" s="86">
        <f t="shared" si="1"/>
        <v>0</v>
      </c>
    </row>
    <row r="26" spans="1:11" s="87" customFormat="1" x14ac:dyDescent="0.3">
      <c r="A26" s="83"/>
      <c r="B26" s="83"/>
      <c r="C26" s="143">
        <f t="shared" si="0"/>
        <v>0</v>
      </c>
      <c r="D26" s="83"/>
      <c r="E26" s="83"/>
      <c r="F26" s="83"/>
      <c r="G26" s="85">
        <v>7000</v>
      </c>
      <c r="H26" s="85">
        <f t="shared" si="2"/>
        <v>0</v>
      </c>
      <c r="I26" s="83"/>
      <c r="J26" s="84">
        <v>9000</v>
      </c>
      <c r="K26" s="86">
        <f t="shared" si="1"/>
        <v>0</v>
      </c>
    </row>
    <row r="27" spans="1:11" s="87" customFormat="1" x14ac:dyDescent="0.3">
      <c r="A27" s="83"/>
      <c r="B27" s="83"/>
      <c r="C27" s="143">
        <f t="shared" si="0"/>
        <v>0</v>
      </c>
      <c r="D27" s="83"/>
      <c r="E27" s="83"/>
      <c r="F27" s="83"/>
      <c r="G27" s="85">
        <v>7000</v>
      </c>
      <c r="H27" s="85">
        <f t="shared" si="2"/>
        <v>0</v>
      </c>
      <c r="I27" s="83"/>
      <c r="J27" s="84">
        <v>9000</v>
      </c>
      <c r="K27" s="86">
        <f t="shared" si="1"/>
        <v>0</v>
      </c>
    </row>
    <row r="28" spans="1:11" s="87" customFormat="1" x14ac:dyDescent="0.3">
      <c r="A28" s="83"/>
      <c r="B28" s="83"/>
      <c r="C28" s="143">
        <f t="shared" si="0"/>
        <v>0</v>
      </c>
      <c r="D28" s="83"/>
      <c r="E28" s="83"/>
      <c r="F28" s="83"/>
      <c r="G28" s="85">
        <v>7000</v>
      </c>
      <c r="H28" s="85">
        <f t="shared" si="2"/>
        <v>0</v>
      </c>
      <c r="I28" s="83"/>
      <c r="J28" s="84">
        <v>9000</v>
      </c>
      <c r="K28" s="86">
        <f t="shared" si="1"/>
        <v>0</v>
      </c>
    </row>
    <row r="29" spans="1:11" s="87" customFormat="1" x14ac:dyDescent="0.3">
      <c r="A29" s="83"/>
      <c r="B29" s="83"/>
      <c r="C29" s="143">
        <f t="shared" si="0"/>
        <v>0</v>
      </c>
      <c r="D29" s="83"/>
      <c r="E29" s="83"/>
      <c r="F29" s="83"/>
      <c r="G29" s="85">
        <v>7000</v>
      </c>
      <c r="H29" s="85">
        <f t="shared" si="2"/>
        <v>0</v>
      </c>
      <c r="I29" s="83"/>
      <c r="J29" s="84">
        <v>9000</v>
      </c>
      <c r="K29" s="86">
        <f t="shared" si="1"/>
        <v>0</v>
      </c>
    </row>
    <row r="30" spans="1:11" s="87" customFormat="1" x14ac:dyDescent="0.3">
      <c r="A30" s="83"/>
      <c r="B30" s="83"/>
      <c r="C30" s="143">
        <f t="shared" si="0"/>
        <v>0</v>
      </c>
      <c r="D30" s="83"/>
      <c r="E30" s="83"/>
      <c r="F30" s="83"/>
      <c r="G30" s="85">
        <v>7000</v>
      </c>
      <c r="H30" s="85">
        <f t="shared" si="2"/>
        <v>0</v>
      </c>
      <c r="I30" s="83"/>
      <c r="J30" s="84">
        <v>9000</v>
      </c>
      <c r="K30" s="86">
        <f t="shared" si="1"/>
        <v>0</v>
      </c>
    </row>
    <row r="31" spans="1:11" s="87" customFormat="1" x14ac:dyDescent="0.3">
      <c r="A31" s="83"/>
      <c r="B31" s="83"/>
      <c r="C31" s="143">
        <f t="shared" si="0"/>
        <v>0</v>
      </c>
      <c r="D31" s="83"/>
      <c r="E31" s="83"/>
      <c r="F31" s="83"/>
      <c r="G31" s="85">
        <v>7000</v>
      </c>
      <c r="H31" s="85">
        <f t="shared" si="2"/>
        <v>0</v>
      </c>
      <c r="I31" s="83"/>
      <c r="J31" s="84">
        <v>9000</v>
      </c>
      <c r="K31" s="86">
        <f t="shared" si="1"/>
        <v>0</v>
      </c>
    </row>
    <row r="32" spans="1:11" s="87" customFormat="1" x14ac:dyDescent="0.3">
      <c r="A32" s="83"/>
      <c r="B32" s="83"/>
      <c r="C32" s="143">
        <f t="shared" si="0"/>
        <v>0</v>
      </c>
      <c r="D32" s="83"/>
      <c r="E32" s="83"/>
      <c r="F32" s="83"/>
      <c r="G32" s="85">
        <v>7000</v>
      </c>
      <c r="H32" s="85">
        <f t="shared" si="2"/>
        <v>0</v>
      </c>
      <c r="I32" s="83"/>
      <c r="J32" s="84">
        <v>9000</v>
      </c>
      <c r="K32" s="86">
        <f t="shared" si="1"/>
        <v>0</v>
      </c>
    </row>
    <row r="33" spans="1:11" s="87" customFormat="1" x14ac:dyDescent="0.3">
      <c r="A33" s="83"/>
      <c r="B33" s="83"/>
      <c r="C33" s="143">
        <f t="shared" si="0"/>
        <v>0</v>
      </c>
      <c r="D33" s="83"/>
      <c r="E33" s="83"/>
      <c r="F33" s="83"/>
      <c r="G33" s="85">
        <v>7000</v>
      </c>
      <c r="H33" s="85">
        <f t="shared" si="2"/>
        <v>0</v>
      </c>
      <c r="I33" s="83"/>
      <c r="J33" s="84">
        <v>9000</v>
      </c>
      <c r="K33" s="86">
        <f t="shared" si="1"/>
        <v>0</v>
      </c>
    </row>
    <row r="34" spans="1:11" s="87" customFormat="1" x14ac:dyDescent="0.3">
      <c r="A34" s="83"/>
      <c r="B34" s="83"/>
      <c r="C34" s="143">
        <f t="shared" si="0"/>
        <v>0</v>
      </c>
      <c r="D34" s="83"/>
      <c r="E34" s="83"/>
      <c r="F34" s="83"/>
      <c r="G34" s="85">
        <v>7000</v>
      </c>
      <c r="H34" s="85">
        <f t="shared" si="2"/>
        <v>0</v>
      </c>
      <c r="I34" s="83"/>
      <c r="J34" s="84">
        <v>9000</v>
      </c>
      <c r="K34" s="86">
        <f t="shared" si="1"/>
        <v>0</v>
      </c>
    </row>
    <row r="35" spans="1:11" s="87" customFormat="1" x14ac:dyDescent="0.3">
      <c r="A35" s="83"/>
      <c r="B35" s="83"/>
      <c r="C35" s="143">
        <f t="shared" si="0"/>
        <v>0</v>
      </c>
      <c r="D35" s="83"/>
      <c r="E35" s="83"/>
      <c r="F35" s="83"/>
      <c r="G35" s="85">
        <v>7000</v>
      </c>
      <c r="H35" s="85">
        <f t="shared" si="2"/>
        <v>0</v>
      </c>
      <c r="I35" s="83"/>
      <c r="J35" s="84">
        <v>9000</v>
      </c>
      <c r="K35" s="86">
        <f t="shared" si="1"/>
        <v>0</v>
      </c>
    </row>
    <row r="36" spans="1:11" s="87" customFormat="1" x14ac:dyDescent="0.3">
      <c r="A36" s="83"/>
      <c r="B36" s="83"/>
      <c r="C36" s="143">
        <f t="shared" si="0"/>
        <v>0</v>
      </c>
      <c r="D36" s="83"/>
      <c r="E36" s="83"/>
      <c r="F36" s="83"/>
      <c r="G36" s="85">
        <v>7000</v>
      </c>
      <c r="H36" s="85">
        <f t="shared" si="2"/>
        <v>0</v>
      </c>
      <c r="I36" s="83"/>
      <c r="J36" s="84">
        <v>9000</v>
      </c>
      <c r="K36" s="86">
        <f t="shared" si="1"/>
        <v>0</v>
      </c>
    </row>
    <row r="37" spans="1:11" s="87" customFormat="1" x14ac:dyDescent="0.3">
      <c r="A37" s="83"/>
      <c r="B37" s="83"/>
      <c r="C37" s="143">
        <f t="shared" si="0"/>
        <v>0</v>
      </c>
      <c r="D37" s="83"/>
      <c r="E37" s="83"/>
      <c r="F37" s="83"/>
      <c r="G37" s="85">
        <v>7000</v>
      </c>
      <c r="H37" s="85">
        <f t="shared" si="2"/>
        <v>0</v>
      </c>
      <c r="I37" s="83"/>
      <c r="J37" s="84">
        <v>9000</v>
      </c>
      <c r="K37" s="86">
        <f t="shared" si="1"/>
        <v>0</v>
      </c>
    </row>
    <row r="38" spans="1:11" s="87" customFormat="1" x14ac:dyDescent="0.3">
      <c r="A38" s="83"/>
      <c r="B38" s="83"/>
      <c r="C38" s="143">
        <f t="shared" si="0"/>
        <v>0</v>
      </c>
      <c r="D38" s="83"/>
      <c r="E38" s="83"/>
      <c r="F38" s="83"/>
      <c r="G38" s="85">
        <v>7000</v>
      </c>
      <c r="H38" s="85">
        <f t="shared" si="2"/>
        <v>0</v>
      </c>
      <c r="I38" s="83"/>
      <c r="J38" s="84">
        <v>9000</v>
      </c>
      <c r="K38" s="86">
        <f t="shared" si="1"/>
        <v>0</v>
      </c>
    </row>
    <row r="39" spans="1:11" s="87" customFormat="1" x14ac:dyDescent="0.3">
      <c r="A39" s="83"/>
      <c r="B39" s="83"/>
      <c r="C39" s="143">
        <f t="shared" si="0"/>
        <v>0</v>
      </c>
      <c r="D39" s="83"/>
      <c r="E39" s="83"/>
      <c r="F39" s="83"/>
      <c r="G39" s="85">
        <v>7000</v>
      </c>
      <c r="H39" s="85">
        <f t="shared" si="2"/>
        <v>0</v>
      </c>
      <c r="I39" s="83"/>
      <c r="J39" s="84">
        <v>9000</v>
      </c>
      <c r="K39" s="86">
        <f t="shared" si="1"/>
        <v>0</v>
      </c>
    </row>
    <row r="40" spans="1:11" s="87" customFormat="1" x14ac:dyDescent="0.3">
      <c r="A40" s="92"/>
      <c r="B40" s="92"/>
      <c r="C40" s="143">
        <f t="shared" si="0"/>
        <v>0</v>
      </c>
      <c r="D40" s="83"/>
      <c r="E40" s="83"/>
      <c r="F40" s="83"/>
      <c r="G40" s="85">
        <v>7000</v>
      </c>
      <c r="H40" s="85">
        <f t="shared" si="2"/>
        <v>0</v>
      </c>
      <c r="I40" s="83"/>
      <c r="J40" s="84">
        <v>9000</v>
      </c>
      <c r="K40" s="86">
        <f t="shared" si="1"/>
        <v>0</v>
      </c>
    </row>
    <row r="41" spans="1:11" s="87" customFormat="1" x14ac:dyDescent="0.3">
      <c r="A41" s="92"/>
      <c r="B41" s="92"/>
      <c r="C41" s="143">
        <f t="shared" si="0"/>
        <v>0</v>
      </c>
      <c r="D41" s="83"/>
      <c r="E41" s="83"/>
      <c r="F41" s="83"/>
      <c r="G41" s="85">
        <v>7000</v>
      </c>
      <c r="H41" s="85">
        <f t="shared" si="2"/>
        <v>0</v>
      </c>
      <c r="I41" s="83"/>
      <c r="J41" s="84">
        <v>9000</v>
      </c>
      <c r="K41" s="86">
        <f t="shared" si="1"/>
        <v>0</v>
      </c>
    </row>
    <row r="42" spans="1:11" s="87" customFormat="1" x14ac:dyDescent="0.3">
      <c r="A42" s="92"/>
      <c r="B42" s="92"/>
      <c r="C42" s="143">
        <f t="shared" si="0"/>
        <v>0</v>
      </c>
      <c r="D42" s="83"/>
      <c r="E42" s="83"/>
      <c r="F42" s="83"/>
      <c r="G42" s="85">
        <v>7000</v>
      </c>
      <c r="H42" s="85">
        <f t="shared" si="2"/>
        <v>0</v>
      </c>
      <c r="I42" s="83"/>
      <c r="J42" s="84">
        <v>9000</v>
      </c>
      <c r="K42" s="86">
        <f t="shared" si="1"/>
        <v>0</v>
      </c>
    </row>
    <row r="43" spans="1:11" s="87" customFormat="1" x14ac:dyDescent="0.3">
      <c r="A43" s="92"/>
      <c r="B43" s="92"/>
      <c r="C43" s="143">
        <f t="shared" si="0"/>
        <v>0</v>
      </c>
      <c r="D43" s="83"/>
      <c r="E43" s="83"/>
      <c r="F43" s="83"/>
      <c r="G43" s="85">
        <v>7000</v>
      </c>
      <c r="H43" s="85">
        <f t="shared" si="2"/>
        <v>0</v>
      </c>
      <c r="I43" s="83"/>
      <c r="J43" s="84">
        <v>9000</v>
      </c>
      <c r="K43" s="86">
        <f t="shared" si="1"/>
        <v>0</v>
      </c>
    </row>
    <row r="44" spans="1:11" s="87" customFormat="1" x14ac:dyDescent="0.3">
      <c r="A44" s="92"/>
      <c r="B44" s="92"/>
      <c r="C44" s="143">
        <f t="shared" si="0"/>
        <v>0</v>
      </c>
      <c r="D44" s="83"/>
      <c r="E44" s="83"/>
      <c r="F44" s="83"/>
      <c r="G44" s="85">
        <v>7000</v>
      </c>
      <c r="H44" s="85">
        <f t="shared" si="2"/>
        <v>0</v>
      </c>
      <c r="I44" s="83"/>
      <c r="J44" s="84">
        <v>9000</v>
      </c>
      <c r="K44" s="86">
        <f t="shared" si="1"/>
        <v>0</v>
      </c>
    </row>
    <row r="45" spans="1:11" s="87" customFormat="1" x14ac:dyDescent="0.3">
      <c r="A45" s="92"/>
      <c r="B45" s="92"/>
      <c r="C45" s="143">
        <f t="shared" si="0"/>
        <v>0</v>
      </c>
      <c r="D45" s="83"/>
      <c r="E45" s="83"/>
      <c r="F45" s="83"/>
      <c r="G45" s="85">
        <v>7000</v>
      </c>
      <c r="H45" s="85">
        <f t="shared" si="2"/>
        <v>0</v>
      </c>
      <c r="I45" s="83"/>
      <c r="J45" s="84">
        <v>9000</v>
      </c>
      <c r="K45" s="86">
        <f t="shared" si="1"/>
        <v>0</v>
      </c>
    </row>
    <row r="46" spans="1:11" s="87" customFormat="1" x14ac:dyDescent="0.3">
      <c r="A46" s="92"/>
      <c r="B46" s="92"/>
      <c r="C46" s="143">
        <f t="shared" si="0"/>
        <v>0</v>
      </c>
      <c r="D46" s="83"/>
      <c r="E46" s="83"/>
      <c r="F46" s="83"/>
      <c r="G46" s="85">
        <v>7000</v>
      </c>
      <c r="H46" s="85">
        <f t="shared" si="2"/>
        <v>0</v>
      </c>
      <c r="I46" s="83"/>
      <c r="J46" s="84">
        <v>9000</v>
      </c>
      <c r="K46" s="86">
        <f t="shared" si="1"/>
        <v>0</v>
      </c>
    </row>
    <row r="47" spans="1:11" s="87" customFormat="1" x14ac:dyDescent="0.3">
      <c r="A47" s="92"/>
      <c r="B47" s="92"/>
      <c r="C47" s="143">
        <f t="shared" si="0"/>
        <v>0</v>
      </c>
      <c r="D47" s="83"/>
      <c r="E47" s="83"/>
      <c r="F47" s="83"/>
      <c r="G47" s="85">
        <v>7000</v>
      </c>
      <c r="H47" s="85">
        <f t="shared" si="2"/>
        <v>0</v>
      </c>
      <c r="I47" s="83"/>
      <c r="J47" s="84">
        <v>9000</v>
      </c>
      <c r="K47" s="86">
        <f t="shared" si="1"/>
        <v>0</v>
      </c>
    </row>
    <row r="48" spans="1:11" s="87" customFormat="1" x14ac:dyDescent="0.3">
      <c r="A48" s="92"/>
      <c r="B48" s="92"/>
      <c r="C48" s="143">
        <f t="shared" si="0"/>
        <v>0</v>
      </c>
      <c r="D48" s="83"/>
      <c r="E48" s="83"/>
      <c r="F48" s="83"/>
      <c r="G48" s="85">
        <v>7000</v>
      </c>
      <c r="H48" s="85">
        <f t="shared" si="2"/>
        <v>0</v>
      </c>
      <c r="I48" s="83"/>
      <c r="J48" s="84">
        <v>9000</v>
      </c>
      <c r="K48" s="86">
        <f t="shared" si="1"/>
        <v>0</v>
      </c>
    </row>
    <row r="49" spans="1:11" s="87" customFormat="1" x14ac:dyDescent="0.3">
      <c r="A49" s="92"/>
      <c r="B49" s="92"/>
      <c r="C49" s="143">
        <f t="shared" si="0"/>
        <v>0</v>
      </c>
      <c r="D49" s="83"/>
      <c r="E49" s="83"/>
      <c r="F49" s="83"/>
      <c r="G49" s="85">
        <v>7000</v>
      </c>
      <c r="H49" s="85">
        <f t="shared" si="2"/>
        <v>0</v>
      </c>
      <c r="I49" s="83"/>
      <c r="J49" s="84">
        <v>9000</v>
      </c>
      <c r="K49" s="86">
        <f t="shared" si="1"/>
        <v>0</v>
      </c>
    </row>
    <row r="50" spans="1:11" s="87" customFormat="1" x14ac:dyDescent="0.3">
      <c r="A50" s="92"/>
      <c r="B50" s="92"/>
      <c r="C50" s="143">
        <f t="shared" si="0"/>
        <v>0</v>
      </c>
      <c r="D50" s="83"/>
      <c r="E50" s="83"/>
      <c r="F50" s="83"/>
      <c r="G50" s="85">
        <v>7000</v>
      </c>
      <c r="H50" s="85">
        <f t="shared" si="2"/>
        <v>0</v>
      </c>
      <c r="I50" s="83"/>
      <c r="J50" s="84">
        <v>9000</v>
      </c>
      <c r="K50" s="86">
        <f t="shared" si="1"/>
        <v>0</v>
      </c>
    </row>
    <row r="51" spans="1:11" s="87" customFormat="1" x14ac:dyDescent="0.3">
      <c r="A51" s="92"/>
      <c r="B51" s="92"/>
      <c r="C51" s="143">
        <f t="shared" si="0"/>
        <v>0</v>
      </c>
      <c r="D51" s="83"/>
      <c r="E51" s="83"/>
      <c r="F51" s="83"/>
      <c r="G51" s="85">
        <v>7000</v>
      </c>
      <c r="H51" s="85">
        <f t="shared" si="2"/>
        <v>0</v>
      </c>
      <c r="I51" s="83"/>
      <c r="J51" s="84">
        <v>9000</v>
      </c>
      <c r="K51" s="86">
        <f t="shared" si="1"/>
        <v>0</v>
      </c>
    </row>
    <row r="52" spans="1:11" s="87" customFormat="1" x14ac:dyDescent="0.3">
      <c r="A52" s="92"/>
      <c r="B52" s="92"/>
      <c r="C52" s="143">
        <f t="shared" si="0"/>
        <v>0</v>
      </c>
      <c r="D52" s="83"/>
      <c r="E52" s="83"/>
      <c r="F52" s="83"/>
      <c r="G52" s="85">
        <v>7000</v>
      </c>
      <c r="H52" s="85">
        <f t="shared" si="2"/>
        <v>0</v>
      </c>
      <c r="I52" s="83"/>
      <c r="J52" s="84">
        <v>9000</v>
      </c>
      <c r="K52" s="86">
        <f t="shared" si="1"/>
        <v>0</v>
      </c>
    </row>
    <row r="53" spans="1:11" s="87" customFormat="1" x14ac:dyDescent="0.3">
      <c r="A53" s="92"/>
      <c r="B53" s="92"/>
      <c r="C53" s="143">
        <f t="shared" si="0"/>
        <v>0</v>
      </c>
      <c r="D53" s="83"/>
      <c r="E53" s="83"/>
      <c r="F53" s="83"/>
      <c r="G53" s="85">
        <v>7000</v>
      </c>
      <c r="H53" s="85">
        <f t="shared" si="2"/>
        <v>0</v>
      </c>
      <c r="I53" s="83"/>
      <c r="J53" s="84">
        <v>9000</v>
      </c>
      <c r="K53" s="86">
        <f t="shared" si="1"/>
        <v>0</v>
      </c>
    </row>
    <row r="54" spans="1:11" s="87" customFormat="1" x14ac:dyDescent="0.3">
      <c r="A54" s="92"/>
      <c r="B54" s="92"/>
      <c r="C54" s="143">
        <f t="shared" si="0"/>
        <v>0</v>
      </c>
      <c r="D54" s="83"/>
      <c r="E54" s="83"/>
      <c r="F54" s="83"/>
      <c r="G54" s="85">
        <v>7000</v>
      </c>
      <c r="H54" s="85">
        <f t="shared" si="2"/>
        <v>0</v>
      </c>
      <c r="I54" s="83"/>
      <c r="J54" s="84">
        <v>9000</v>
      </c>
      <c r="K54" s="86">
        <f t="shared" si="1"/>
        <v>0</v>
      </c>
    </row>
    <row r="55" spans="1:11" s="87" customFormat="1" x14ac:dyDescent="0.3">
      <c r="A55" s="92"/>
      <c r="B55" s="92"/>
      <c r="C55" s="143">
        <f t="shared" si="0"/>
        <v>0</v>
      </c>
      <c r="D55" s="83"/>
      <c r="E55" s="83"/>
      <c r="F55" s="83"/>
      <c r="G55" s="85">
        <v>7000</v>
      </c>
      <c r="H55" s="85">
        <f t="shared" si="2"/>
        <v>0</v>
      </c>
      <c r="I55" s="83"/>
      <c r="J55" s="84">
        <v>9000</v>
      </c>
      <c r="K55" s="86">
        <f t="shared" si="1"/>
        <v>0</v>
      </c>
    </row>
    <row r="56" spans="1:11" s="87" customFormat="1" x14ac:dyDescent="0.3">
      <c r="A56" s="92"/>
      <c r="B56" s="92"/>
      <c r="C56" s="143">
        <f t="shared" si="0"/>
        <v>0</v>
      </c>
      <c r="D56" s="83"/>
      <c r="E56" s="83"/>
      <c r="F56" s="83"/>
      <c r="G56" s="85">
        <v>7000</v>
      </c>
      <c r="H56" s="85">
        <f t="shared" si="2"/>
        <v>0</v>
      </c>
      <c r="I56" s="83"/>
      <c r="J56" s="84">
        <v>9000</v>
      </c>
      <c r="K56" s="86">
        <f t="shared" si="1"/>
        <v>0</v>
      </c>
    </row>
    <row r="57" spans="1:11" s="87" customFormat="1" x14ac:dyDescent="0.3">
      <c r="A57" s="92"/>
      <c r="B57" s="92"/>
      <c r="C57" s="143">
        <f t="shared" si="0"/>
        <v>0</v>
      </c>
      <c r="D57" s="83"/>
      <c r="E57" s="83"/>
      <c r="F57" s="83"/>
      <c r="G57" s="85">
        <v>7000</v>
      </c>
      <c r="H57" s="85">
        <f t="shared" si="2"/>
        <v>0</v>
      </c>
      <c r="I57" s="83"/>
      <c r="J57" s="84">
        <v>9000</v>
      </c>
      <c r="K57" s="86">
        <f t="shared" si="1"/>
        <v>0</v>
      </c>
    </row>
    <row r="58" spans="1:11" s="87" customFormat="1" x14ac:dyDescent="0.3">
      <c r="A58" s="92"/>
      <c r="B58" s="92"/>
      <c r="C58" s="143">
        <f t="shared" si="0"/>
        <v>0</v>
      </c>
      <c r="D58" s="83"/>
      <c r="E58" s="83"/>
      <c r="F58" s="83"/>
      <c r="G58" s="85">
        <v>7000</v>
      </c>
      <c r="H58" s="85">
        <f t="shared" si="2"/>
        <v>0</v>
      </c>
      <c r="I58" s="83"/>
      <c r="J58" s="84">
        <v>9000</v>
      </c>
      <c r="K58" s="86">
        <f t="shared" si="1"/>
        <v>0</v>
      </c>
    </row>
    <row r="59" spans="1:11" s="87" customFormat="1" x14ac:dyDescent="0.3">
      <c r="A59" s="92"/>
      <c r="B59" s="92"/>
      <c r="C59" s="143">
        <f t="shared" si="0"/>
        <v>0</v>
      </c>
      <c r="D59" s="83"/>
      <c r="E59" s="83"/>
      <c r="F59" s="83"/>
      <c r="G59" s="85">
        <v>7000</v>
      </c>
      <c r="H59" s="85">
        <f t="shared" si="2"/>
        <v>0</v>
      </c>
      <c r="I59" s="83"/>
      <c r="J59" s="84">
        <v>9000</v>
      </c>
      <c r="K59" s="86">
        <f t="shared" si="1"/>
        <v>0</v>
      </c>
    </row>
    <row r="60" spans="1:11" s="87" customFormat="1" x14ac:dyDescent="0.3">
      <c r="A60" s="83"/>
      <c r="B60" s="83"/>
      <c r="C60" s="143">
        <f t="shared" si="0"/>
        <v>0</v>
      </c>
      <c r="D60" s="83"/>
      <c r="E60" s="83"/>
      <c r="F60" s="83"/>
      <c r="G60" s="85">
        <v>7000</v>
      </c>
      <c r="H60" s="85">
        <f t="shared" si="2"/>
        <v>0</v>
      </c>
      <c r="I60" s="83"/>
      <c r="J60" s="84">
        <v>9000</v>
      </c>
      <c r="K60" s="86">
        <f t="shared" si="1"/>
        <v>0</v>
      </c>
    </row>
    <row r="61" spans="1:11" s="87" customFormat="1" x14ac:dyDescent="0.3">
      <c r="A61" s="83"/>
      <c r="B61" s="83"/>
      <c r="C61" s="143">
        <f t="shared" si="0"/>
        <v>0</v>
      </c>
      <c r="D61" s="83"/>
      <c r="E61" s="83"/>
      <c r="F61" s="83"/>
      <c r="G61" s="85">
        <v>7000</v>
      </c>
      <c r="H61" s="85">
        <f t="shared" si="2"/>
        <v>0</v>
      </c>
      <c r="I61" s="83"/>
      <c r="J61" s="84">
        <v>9000</v>
      </c>
      <c r="K61" s="86">
        <f t="shared" si="1"/>
        <v>0</v>
      </c>
    </row>
    <row r="62" spans="1:11" s="87" customFormat="1" x14ac:dyDescent="0.3">
      <c r="A62" s="83"/>
      <c r="B62" s="83"/>
      <c r="C62" s="143">
        <f t="shared" si="0"/>
        <v>0</v>
      </c>
      <c r="D62" s="83"/>
      <c r="E62" s="83"/>
      <c r="F62" s="83"/>
      <c r="G62" s="85">
        <v>7000</v>
      </c>
      <c r="H62" s="85">
        <f t="shared" si="2"/>
        <v>0</v>
      </c>
      <c r="I62" s="83"/>
      <c r="J62" s="84">
        <v>9000</v>
      </c>
      <c r="K62" s="86">
        <f t="shared" si="1"/>
        <v>0</v>
      </c>
    </row>
    <row r="63" spans="1:11" s="87" customFormat="1" x14ac:dyDescent="0.3">
      <c r="A63" s="83"/>
      <c r="B63" s="83"/>
      <c r="C63" s="143">
        <f t="shared" si="0"/>
        <v>0</v>
      </c>
      <c r="D63" s="83"/>
      <c r="E63" s="83"/>
      <c r="F63" s="83"/>
      <c r="G63" s="85">
        <v>7000</v>
      </c>
      <c r="H63" s="85">
        <f t="shared" si="2"/>
        <v>0</v>
      </c>
      <c r="I63" s="83"/>
      <c r="J63" s="84">
        <v>9000</v>
      </c>
      <c r="K63" s="86">
        <f t="shared" si="1"/>
        <v>0</v>
      </c>
    </row>
    <row r="64" spans="1:11" s="87" customFormat="1" x14ac:dyDescent="0.3">
      <c r="A64" s="83"/>
      <c r="B64" s="83"/>
      <c r="C64" s="143">
        <f t="shared" si="0"/>
        <v>0</v>
      </c>
      <c r="D64" s="83"/>
      <c r="E64" s="83"/>
      <c r="F64" s="83"/>
      <c r="G64" s="85">
        <v>7000</v>
      </c>
      <c r="H64" s="85">
        <f t="shared" si="2"/>
        <v>0</v>
      </c>
      <c r="I64" s="83"/>
      <c r="J64" s="84">
        <v>9000</v>
      </c>
      <c r="K64" s="86">
        <f t="shared" si="1"/>
        <v>0</v>
      </c>
    </row>
    <row r="65" spans="1:11" s="87" customFormat="1" x14ac:dyDescent="0.3">
      <c r="A65" s="83"/>
      <c r="B65" s="83"/>
      <c r="C65" s="143">
        <f t="shared" si="0"/>
        <v>0</v>
      </c>
      <c r="D65" s="83"/>
      <c r="E65" s="83"/>
      <c r="F65" s="83"/>
      <c r="G65" s="85">
        <v>7000</v>
      </c>
      <c r="H65" s="85">
        <f t="shared" si="2"/>
        <v>0</v>
      </c>
      <c r="I65" s="83"/>
      <c r="J65" s="84">
        <v>9000</v>
      </c>
      <c r="K65" s="86">
        <f t="shared" si="1"/>
        <v>0</v>
      </c>
    </row>
    <row r="66" spans="1:11" s="87" customFormat="1" x14ac:dyDescent="0.3">
      <c r="A66" s="83"/>
      <c r="B66" s="83"/>
      <c r="C66" s="143">
        <f t="shared" si="0"/>
        <v>0</v>
      </c>
      <c r="D66" s="83"/>
      <c r="E66" s="83"/>
      <c r="F66" s="83"/>
      <c r="G66" s="85">
        <v>7000</v>
      </c>
      <c r="H66" s="85">
        <f t="shared" si="2"/>
        <v>0</v>
      </c>
      <c r="I66" s="83"/>
      <c r="J66" s="84">
        <v>9000</v>
      </c>
      <c r="K66" s="86">
        <f t="shared" si="1"/>
        <v>0</v>
      </c>
    </row>
    <row r="67" spans="1:11" s="87" customFormat="1" x14ac:dyDescent="0.3">
      <c r="A67" s="83"/>
      <c r="B67" s="83"/>
      <c r="C67" s="143">
        <f t="shared" si="0"/>
        <v>0</v>
      </c>
      <c r="D67" s="83"/>
      <c r="E67" s="83"/>
      <c r="F67" s="83"/>
      <c r="G67" s="85">
        <v>7000</v>
      </c>
      <c r="H67" s="85">
        <f t="shared" si="2"/>
        <v>0</v>
      </c>
      <c r="I67" s="83"/>
      <c r="J67" s="84">
        <v>9000</v>
      </c>
      <c r="K67" s="86">
        <f t="shared" si="1"/>
        <v>0</v>
      </c>
    </row>
    <row r="68" spans="1:11" s="87" customFormat="1" x14ac:dyDescent="0.3">
      <c r="A68" s="83"/>
      <c r="B68" s="83"/>
      <c r="C68" s="143">
        <f t="shared" si="0"/>
        <v>0</v>
      </c>
      <c r="D68" s="83"/>
      <c r="E68" s="83"/>
      <c r="F68" s="83"/>
      <c r="G68" s="85">
        <v>7000</v>
      </c>
      <c r="H68" s="85">
        <f t="shared" si="2"/>
        <v>0</v>
      </c>
      <c r="I68" s="83"/>
      <c r="J68" s="84">
        <v>9000</v>
      </c>
      <c r="K68" s="86">
        <f t="shared" si="1"/>
        <v>0</v>
      </c>
    </row>
    <row r="69" spans="1:11" s="87" customFormat="1" x14ac:dyDescent="0.3">
      <c r="A69" s="83"/>
      <c r="B69" s="83"/>
      <c r="C69" s="143">
        <f t="shared" si="0"/>
        <v>0</v>
      </c>
      <c r="D69" s="83"/>
      <c r="E69" s="83"/>
      <c r="F69" s="83"/>
      <c r="G69" s="85">
        <v>7000</v>
      </c>
      <c r="H69" s="85">
        <f t="shared" si="2"/>
        <v>0</v>
      </c>
      <c r="I69" s="83"/>
      <c r="J69" s="84">
        <v>9000</v>
      </c>
      <c r="K69" s="86">
        <f t="shared" si="1"/>
        <v>0</v>
      </c>
    </row>
    <row r="70" spans="1:11" s="87" customFormat="1" x14ac:dyDescent="0.3">
      <c r="C70" s="93"/>
      <c r="G70" s="93"/>
      <c r="H70" s="93"/>
      <c r="J70" s="93"/>
      <c r="K70" s="93"/>
    </row>
    <row r="71" spans="1:11" s="87" customFormat="1" x14ac:dyDescent="0.3">
      <c r="B71" s="114"/>
      <c r="C71" s="115"/>
      <c r="D71" s="114"/>
      <c r="E71" s="114"/>
      <c r="F71" s="114"/>
      <c r="G71" s="115"/>
      <c r="H71" s="115"/>
      <c r="I71" s="114"/>
      <c r="J71" s="115"/>
      <c r="K71" s="115"/>
    </row>
    <row r="72" spans="1:11" ht="15" thickBot="1" x14ac:dyDescent="0.35">
      <c r="B72" s="116"/>
      <c r="C72" s="117"/>
      <c r="D72" s="136"/>
      <c r="E72" s="81"/>
      <c r="F72" s="81"/>
      <c r="G72" s="119"/>
      <c r="H72" s="120"/>
      <c r="I72" s="121"/>
      <c r="J72" s="120"/>
      <c r="K72" s="120"/>
    </row>
    <row r="73" spans="1:11" x14ac:dyDescent="0.3">
      <c r="B73" s="163" t="s">
        <v>27</v>
      </c>
      <c r="C73" s="163"/>
      <c r="D73" s="136"/>
      <c r="E73" s="136"/>
      <c r="F73" s="122"/>
      <c r="G73" s="119"/>
      <c r="H73" s="163" t="s">
        <v>29</v>
      </c>
      <c r="I73" s="163"/>
      <c r="J73" s="163"/>
      <c r="K73" s="163"/>
    </row>
    <row r="74" spans="1:11" x14ac:dyDescent="0.3">
      <c r="B74" s="164" t="s">
        <v>28</v>
      </c>
      <c r="C74" s="164"/>
      <c r="D74" s="136"/>
      <c r="E74" s="81"/>
      <c r="F74" s="81"/>
      <c r="G74" s="119"/>
      <c r="H74" s="165" t="s">
        <v>30</v>
      </c>
      <c r="I74" s="165"/>
      <c r="J74" s="165"/>
      <c r="K74" s="165"/>
    </row>
    <row r="75" spans="1:11" x14ac:dyDescent="0.3">
      <c r="B75" s="81"/>
      <c r="C75" s="122"/>
      <c r="D75" s="136"/>
      <c r="E75" s="81"/>
      <c r="F75" s="81"/>
      <c r="G75" s="119"/>
      <c r="H75" s="136"/>
      <c r="I75" s="122"/>
      <c r="J75" s="119"/>
      <c r="K75" s="119"/>
    </row>
    <row r="76" spans="1:11" x14ac:dyDescent="0.3">
      <c r="C76" s="45"/>
      <c r="D76" s="44"/>
    </row>
    <row r="77" spans="1:11" x14ac:dyDescent="0.3">
      <c r="G77" s="78"/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5"/>
  <dimension ref="A1:N77"/>
  <sheetViews>
    <sheetView zoomScaleNormal="100" workbookViewId="0">
      <pane xSplit="1" topLeftCell="B1" activePane="topRight" state="frozen"/>
      <selection pane="topRight" activeCell="K10" sqref="K10"/>
    </sheetView>
  </sheetViews>
  <sheetFormatPr baseColWidth="10" defaultRowHeight="14.4" x14ac:dyDescent="0.3"/>
  <cols>
    <col min="1" max="1" width="11.44140625" style="78"/>
    <col min="2" max="2" width="31.109375" style="78" customWidth="1"/>
    <col min="3" max="3" width="13.33203125" style="79" customWidth="1"/>
    <col min="4" max="4" width="11.44140625" style="78" customWidth="1"/>
    <col min="5" max="5" width="11.109375" style="78" customWidth="1"/>
    <col min="6" max="6" width="11.5546875" style="78" customWidth="1"/>
    <col min="7" max="7" width="8.6640625" style="79" customWidth="1"/>
    <col min="8" max="8" width="15.109375" style="79" customWidth="1"/>
    <col min="9" max="9" width="13.6640625" style="80" customWidth="1"/>
    <col min="10" max="10" width="8.6640625" style="79" customWidth="1"/>
    <col min="11" max="11" width="10.44140625" style="79" customWidth="1"/>
    <col min="12" max="249" width="11.44140625" style="78"/>
    <col min="250" max="250" width="30.33203125" style="78" customWidth="1"/>
    <col min="251" max="251" width="10.44140625" style="78" customWidth="1"/>
    <col min="252" max="253" width="11.44140625" style="78"/>
    <col min="254" max="254" width="10.33203125" style="78" customWidth="1"/>
    <col min="255" max="255" width="9.5546875" style="78" customWidth="1"/>
    <col min="256" max="256" width="13.109375" style="78" customWidth="1"/>
    <col min="257" max="257" width="9.88671875" style="78" customWidth="1"/>
    <col min="258" max="258" width="9.109375" style="78" customWidth="1"/>
    <col min="259" max="260" width="13.88671875" style="78" customWidth="1"/>
    <col min="261" max="261" width="10.5546875" style="78" customWidth="1"/>
    <col min="262" max="262" width="15.109375" style="78" customWidth="1"/>
    <col min="263" max="263" width="20.44140625" style="78" customWidth="1"/>
    <col min="264" max="505" width="11.44140625" style="78"/>
    <col min="506" max="506" width="30.33203125" style="78" customWidth="1"/>
    <col min="507" max="507" width="10.44140625" style="78" customWidth="1"/>
    <col min="508" max="509" width="11.44140625" style="78"/>
    <col min="510" max="510" width="10.33203125" style="78" customWidth="1"/>
    <col min="511" max="511" width="9.5546875" style="78" customWidth="1"/>
    <col min="512" max="512" width="13.109375" style="78" customWidth="1"/>
    <col min="513" max="513" width="9.88671875" style="78" customWidth="1"/>
    <col min="514" max="514" width="9.109375" style="78" customWidth="1"/>
    <col min="515" max="516" width="13.88671875" style="78" customWidth="1"/>
    <col min="517" max="517" width="10.5546875" style="78" customWidth="1"/>
    <col min="518" max="518" width="15.109375" style="78" customWidth="1"/>
    <col min="519" max="519" width="20.44140625" style="78" customWidth="1"/>
    <col min="520" max="761" width="11.44140625" style="78"/>
    <col min="762" max="762" width="30.33203125" style="78" customWidth="1"/>
    <col min="763" max="763" width="10.44140625" style="78" customWidth="1"/>
    <col min="764" max="765" width="11.44140625" style="78"/>
    <col min="766" max="766" width="10.33203125" style="78" customWidth="1"/>
    <col min="767" max="767" width="9.5546875" style="78" customWidth="1"/>
    <col min="768" max="768" width="13.109375" style="78" customWidth="1"/>
    <col min="769" max="769" width="9.88671875" style="78" customWidth="1"/>
    <col min="770" max="770" width="9.109375" style="78" customWidth="1"/>
    <col min="771" max="772" width="13.88671875" style="78" customWidth="1"/>
    <col min="773" max="773" width="10.5546875" style="78" customWidth="1"/>
    <col min="774" max="774" width="15.109375" style="78" customWidth="1"/>
    <col min="775" max="775" width="20.44140625" style="78" customWidth="1"/>
    <col min="776" max="1017" width="11.44140625" style="78"/>
    <col min="1018" max="1018" width="30.33203125" style="78" customWidth="1"/>
    <col min="1019" max="1019" width="10.44140625" style="78" customWidth="1"/>
    <col min="1020" max="1021" width="11.44140625" style="78"/>
    <col min="1022" max="1022" width="10.33203125" style="78" customWidth="1"/>
    <col min="1023" max="1023" width="9.5546875" style="78" customWidth="1"/>
    <col min="1024" max="1024" width="13.109375" style="78" customWidth="1"/>
    <col min="1025" max="1025" width="9.88671875" style="78" customWidth="1"/>
    <col min="1026" max="1026" width="9.109375" style="78" customWidth="1"/>
    <col min="1027" max="1028" width="13.88671875" style="78" customWidth="1"/>
    <col min="1029" max="1029" width="10.5546875" style="78" customWidth="1"/>
    <col min="1030" max="1030" width="15.109375" style="78" customWidth="1"/>
    <col min="1031" max="1031" width="20.44140625" style="78" customWidth="1"/>
    <col min="1032" max="1273" width="11.44140625" style="78"/>
    <col min="1274" max="1274" width="30.33203125" style="78" customWidth="1"/>
    <col min="1275" max="1275" width="10.44140625" style="78" customWidth="1"/>
    <col min="1276" max="1277" width="11.44140625" style="78"/>
    <col min="1278" max="1278" width="10.33203125" style="78" customWidth="1"/>
    <col min="1279" max="1279" width="9.5546875" style="78" customWidth="1"/>
    <col min="1280" max="1280" width="13.109375" style="78" customWidth="1"/>
    <col min="1281" max="1281" width="9.88671875" style="78" customWidth="1"/>
    <col min="1282" max="1282" width="9.109375" style="78" customWidth="1"/>
    <col min="1283" max="1284" width="13.88671875" style="78" customWidth="1"/>
    <col min="1285" max="1285" width="10.5546875" style="78" customWidth="1"/>
    <col min="1286" max="1286" width="15.109375" style="78" customWidth="1"/>
    <col min="1287" max="1287" width="20.44140625" style="78" customWidth="1"/>
    <col min="1288" max="1529" width="11.44140625" style="78"/>
    <col min="1530" max="1530" width="30.33203125" style="78" customWidth="1"/>
    <col min="1531" max="1531" width="10.44140625" style="78" customWidth="1"/>
    <col min="1532" max="1533" width="11.44140625" style="78"/>
    <col min="1534" max="1534" width="10.33203125" style="78" customWidth="1"/>
    <col min="1535" max="1535" width="9.5546875" style="78" customWidth="1"/>
    <col min="1536" max="1536" width="13.109375" style="78" customWidth="1"/>
    <col min="1537" max="1537" width="9.88671875" style="78" customWidth="1"/>
    <col min="1538" max="1538" width="9.109375" style="78" customWidth="1"/>
    <col min="1539" max="1540" width="13.88671875" style="78" customWidth="1"/>
    <col min="1541" max="1541" width="10.5546875" style="78" customWidth="1"/>
    <col min="1542" max="1542" width="15.109375" style="78" customWidth="1"/>
    <col min="1543" max="1543" width="20.44140625" style="78" customWidth="1"/>
    <col min="1544" max="1785" width="11.44140625" style="78"/>
    <col min="1786" max="1786" width="30.33203125" style="78" customWidth="1"/>
    <col min="1787" max="1787" width="10.44140625" style="78" customWidth="1"/>
    <col min="1788" max="1789" width="11.44140625" style="78"/>
    <col min="1790" max="1790" width="10.33203125" style="78" customWidth="1"/>
    <col min="1791" max="1791" width="9.5546875" style="78" customWidth="1"/>
    <col min="1792" max="1792" width="13.109375" style="78" customWidth="1"/>
    <col min="1793" max="1793" width="9.88671875" style="78" customWidth="1"/>
    <col min="1794" max="1794" width="9.109375" style="78" customWidth="1"/>
    <col min="1795" max="1796" width="13.88671875" style="78" customWidth="1"/>
    <col min="1797" max="1797" width="10.5546875" style="78" customWidth="1"/>
    <col min="1798" max="1798" width="15.109375" style="78" customWidth="1"/>
    <col min="1799" max="1799" width="20.44140625" style="78" customWidth="1"/>
    <col min="1800" max="2041" width="11.44140625" style="78"/>
    <col min="2042" max="2042" width="30.33203125" style="78" customWidth="1"/>
    <col min="2043" max="2043" width="10.44140625" style="78" customWidth="1"/>
    <col min="2044" max="2045" width="11.44140625" style="78"/>
    <col min="2046" max="2046" width="10.33203125" style="78" customWidth="1"/>
    <col min="2047" max="2047" width="9.5546875" style="78" customWidth="1"/>
    <col min="2048" max="2048" width="13.109375" style="78" customWidth="1"/>
    <col min="2049" max="2049" width="9.88671875" style="78" customWidth="1"/>
    <col min="2050" max="2050" width="9.109375" style="78" customWidth="1"/>
    <col min="2051" max="2052" width="13.88671875" style="78" customWidth="1"/>
    <col min="2053" max="2053" width="10.5546875" style="78" customWidth="1"/>
    <col min="2054" max="2054" width="15.109375" style="78" customWidth="1"/>
    <col min="2055" max="2055" width="20.44140625" style="78" customWidth="1"/>
    <col min="2056" max="2297" width="11.44140625" style="78"/>
    <col min="2298" max="2298" width="30.33203125" style="78" customWidth="1"/>
    <col min="2299" max="2299" width="10.44140625" style="78" customWidth="1"/>
    <col min="2300" max="2301" width="11.44140625" style="78"/>
    <col min="2302" max="2302" width="10.33203125" style="78" customWidth="1"/>
    <col min="2303" max="2303" width="9.5546875" style="78" customWidth="1"/>
    <col min="2304" max="2304" width="13.109375" style="78" customWidth="1"/>
    <col min="2305" max="2305" width="9.88671875" style="78" customWidth="1"/>
    <col min="2306" max="2306" width="9.109375" style="78" customWidth="1"/>
    <col min="2307" max="2308" width="13.88671875" style="78" customWidth="1"/>
    <col min="2309" max="2309" width="10.5546875" style="78" customWidth="1"/>
    <col min="2310" max="2310" width="15.109375" style="78" customWidth="1"/>
    <col min="2311" max="2311" width="20.44140625" style="78" customWidth="1"/>
    <col min="2312" max="2553" width="11.44140625" style="78"/>
    <col min="2554" max="2554" width="30.33203125" style="78" customWidth="1"/>
    <col min="2555" max="2555" width="10.44140625" style="78" customWidth="1"/>
    <col min="2556" max="2557" width="11.44140625" style="78"/>
    <col min="2558" max="2558" width="10.33203125" style="78" customWidth="1"/>
    <col min="2559" max="2559" width="9.5546875" style="78" customWidth="1"/>
    <col min="2560" max="2560" width="13.109375" style="78" customWidth="1"/>
    <col min="2561" max="2561" width="9.88671875" style="78" customWidth="1"/>
    <col min="2562" max="2562" width="9.109375" style="78" customWidth="1"/>
    <col min="2563" max="2564" width="13.88671875" style="78" customWidth="1"/>
    <col min="2565" max="2565" width="10.5546875" style="78" customWidth="1"/>
    <col min="2566" max="2566" width="15.109375" style="78" customWidth="1"/>
    <col min="2567" max="2567" width="20.44140625" style="78" customWidth="1"/>
    <col min="2568" max="2809" width="11.44140625" style="78"/>
    <col min="2810" max="2810" width="30.33203125" style="78" customWidth="1"/>
    <col min="2811" max="2811" width="10.44140625" style="78" customWidth="1"/>
    <col min="2812" max="2813" width="11.44140625" style="78"/>
    <col min="2814" max="2814" width="10.33203125" style="78" customWidth="1"/>
    <col min="2815" max="2815" width="9.5546875" style="78" customWidth="1"/>
    <col min="2816" max="2816" width="13.109375" style="78" customWidth="1"/>
    <col min="2817" max="2817" width="9.88671875" style="78" customWidth="1"/>
    <col min="2818" max="2818" width="9.109375" style="78" customWidth="1"/>
    <col min="2819" max="2820" width="13.88671875" style="78" customWidth="1"/>
    <col min="2821" max="2821" width="10.5546875" style="78" customWidth="1"/>
    <col min="2822" max="2822" width="15.109375" style="78" customWidth="1"/>
    <col min="2823" max="2823" width="20.44140625" style="78" customWidth="1"/>
    <col min="2824" max="3065" width="11.44140625" style="78"/>
    <col min="3066" max="3066" width="30.33203125" style="78" customWidth="1"/>
    <col min="3067" max="3067" width="10.44140625" style="78" customWidth="1"/>
    <col min="3068" max="3069" width="11.44140625" style="78"/>
    <col min="3070" max="3070" width="10.33203125" style="78" customWidth="1"/>
    <col min="3071" max="3071" width="9.5546875" style="78" customWidth="1"/>
    <col min="3072" max="3072" width="13.109375" style="78" customWidth="1"/>
    <col min="3073" max="3073" width="9.88671875" style="78" customWidth="1"/>
    <col min="3074" max="3074" width="9.109375" style="78" customWidth="1"/>
    <col min="3075" max="3076" width="13.88671875" style="78" customWidth="1"/>
    <col min="3077" max="3077" width="10.5546875" style="78" customWidth="1"/>
    <col min="3078" max="3078" width="15.109375" style="78" customWidth="1"/>
    <col min="3079" max="3079" width="20.44140625" style="78" customWidth="1"/>
    <col min="3080" max="3321" width="11.44140625" style="78"/>
    <col min="3322" max="3322" width="30.33203125" style="78" customWidth="1"/>
    <col min="3323" max="3323" width="10.44140625" style="78" customWidth="1"/>
    <col min="3324" max="3325" width="11.44140625" style="78"/>
    <col min="3326" max="3326" width="10.33203125" style="78" customWidth="1"/>
    <col min="3327" max="3327" width="9.5546875" style="78" customWidth="1"/>
    <col min="3328" max="3328" width="13.109375" style="78" customWidth="1"/>
    <col min="3329" max="3329" width="9.88671875" style="78" customWidth="1"/>
    <col min="3330" max="3330" width="9.109375" style="78" customWidth="1"/>
    <col min="3331" max="3332" width="13.88671875" style="78" customWidth="1"/>
    <col min="3333" max="3333" width="10.5546875" style="78" customWidth="1"/>
    <col min="3334" max="3334" width="15.109375" style="78" customWidth="1"/>
    <col min="3335" max="3335" width="20.44140625" style="78" customWidth="1"/>
    <col min="3336" max="3577" width="11.44140625" style="78"/>
    <col min="3578" max="3578" width="30.33203125" style="78" customWidth="1"/>
    <col min="3579" max="3579" width="10.44140625" style="78" customWidth="1"/>
    <col min="3580" max="3581" width="11.44140625" style="78"/>
    <col min="3582" max="3582" width="10.33203125" style="78" customWidth="1"/>
    <col min="3583" max="3583" width="9.5546875" style="78" customWidth="1"/>
    <col min="3584" max="3584" width="13.109375" style="78" customWidth="1"/>
    <col min="3585" max="3585" width="9.88671875" style="78" customWidth="1"/>
    <col min="3586" max="3586" width="9.109375" style="78" customWidth="1"/>
    <col min="3587" max="3588" width="13.88671875" style="78" customWidth="1"/>
    <col min="3589" max="3589" width="10.5546875" style="78" customWidth="1"/>
    <col min="3590" max="3590" width="15.109375" style="78" customWidth="1"/>
    <col min="3591" max="3591" width="20.44140625" style="78" customWidth="1"/>
    <col min="3592" max="3833" width="11.44140625" style="78"/>
    <col min="3834" max="3834" width="30.33203125" style="78" customWidth="1"/>
    <col min="3835" max="3835" width="10.44140625" style="78" customWidth="1"/>
    <col min="3836" max="3837" width="11.44140625" style="78"/>
    <col min="3838" max="3838" width="10.33203125" style="78" customWidth="1"/>
    <col min="3839" max="3839" width="9.5546875" style="78" customWidth="1"/>
    <col min="3840" max="3840" width="13.109375" style="78" customWidth="1"/>
    <col min="3841" max="3841" width="9.88671875" style="78" customWidth="1"/>
    <col min="3842" max="3842" width="9.109375" style="78" customWidth="1"/>
    <col min="3843" max="3844" width="13.88671875" style="78" customWidth="1"/>
    <col min="3845" max="3845" width="10.5546875" style="78" customWidth="1"/>
    <col min="3846" max="3846" width="15.109375" style="78" customWidth="1"/>
    <col min="3847" max="3847" width="20.44140625" style="78" customWidth="1"/>
    <col min="3848" max="4089" width="11.44140625" style="78"/>
    <col min="4090" max="4090" width="30.33203125" style="78" customWidth="1"/>
    <col min="4091" max="4091" width="10.44140625" style="78" customWidth="1"/>
    <col min="4092" max="4093" width="11.44140625" style="78"/>
    <col min="4094" max="4094" width="10.33203125" style="78" customWidth="1"/>
    <col min="4095" max="4095" width="9.5546875" style="78" customWidth="1"/>
    <col min="4096" max="4096" width="13.109375" style="78" customWidth="1"/>
    <col min="4097" max="4097" width="9.88671875" style="78" customWidth="1"/>
    <col min="4098" max="4098" width="9.109375" style="78" customWidth="1"/>
    <col min="4099" max="4100" width="13.88671875" style="78" customWidth="1"/>
    <col min="4101" max="4101" width="10.5546875" style="78" customWidth="1"/>
    <col min="4102" max="4102" width="15.109375" style="78" customWidth="1"/>
    <col min="4103" max="4103" width="20.44140625" style="78" customWidth="1"/>
    <col min="4104" max="4345" width="11.44140625" style="78"/>
    <col min="4346" max="4346" width="30.33203125" style="78" customWidth="1"/>
    <col min="4347" max="4347" width="10.44140625" style="78" customWidth="1"/>
    <col min="4348" max="4349" width="11.44140625" style="78"/>
    <col min="4350" max="4350" width="10.33203125" style="78" customWidth="1"/>
    <col min="4351" max="4351" width="9.5546875" style="78" customWidth="1"/>
    <col min="4352" max="4352" width="13.109375" style="78" customWidth="1"/>
    <col min="4353" max="4353" width="9.88671875" style="78" customWidth="1"/>
    <col min="4354" max="4354" width="9.109375" style="78" customWidth="1"/>
    <col min="4355" max="4356" width="13.88671875" style="78" customWidth="1"/>
    <col min="4357" max="4357" width="10.5546875" style="78" customWidth="1"/>
    <col min="4358" max="4358" width="15.109375" style="78" customWidth="1"/>
    <col min="4359" max="4359" width="20.44140625" style="78" customWidth="1"/>
    <col min="4360" max="4601" width="11.44140625" style="78"/>
    <col min="4602" max="4602" width="30.33203125" style="78" customWidth="1"/>
    <col min="4603" max="4603" width="10.44140625" style="78" customWidth="1"/>
    <col min="4604" max="4605" width="11.44140625" style="78"/>
    <col min="4606" max="4606" width="10.33203125" style="78" customWidth="1"/>
    <col min="4607" max="4607" width="9.5546875" style="78" customWidth="1"/>
    <col min="4608" max="4608" width="13.109375" style="78" customWidth="1"/>
    <col min="4609" max="4609" width="9.88671875" style="78" customWidth="1"/>
    <col min="4610" max="4610" width="9.109375" style="78" customWidth="1"/>
    <col min="4611" max="4612" width="13.88671875" style="78" customWidth="1"/>
    <col min="4613" max="4613" width="10.5546875" style="78" customWidth="1"/>
    <col min="4614" max="4614" width="15.109375" style="78" customWidth="1"/>
    <col min="4615" max="4615" width="20.44140625" style="78" customWidth="1"/>
    <col min="4616" max="4857" width="11.44140625" style="78"/>
    <col min="4858" max="4858" width="30.33203125" style="78" customWidth="1"/>
    <col min="4859" max="4859" width="10.44140625" style="78" customWidth="1"/>
    <col min="4860" max="4861" width="11.44140625" style="78"/>
    <col min="4862" max="4862" width="10.33203125" style="78" customWidth="1"/>
    <col min="4863" max="4863" width="9.5546875" style="78" customWidth="1"/>
    <col min="4864" max="4864" width="13.109375" style="78" customWidth="1"/>
    <col min="4865" max="4865" width="9.88671875" style="78" customWidth="1"/>
    <col min="4866" max="4866" width="9.109375" style="78" customWidth="1"/>
    <col min="4867" max="4868" width="13.88671875" style="78" customWidth="1"/>
    <col min="4869" max="4869" width="10.5546875" style="78" customWidth="1"/>
    <col min="4870" max="4870" width="15.109375" style="78" customWidth="1"/>
    <col min="4871" max="4871" width="20.44140625" style="78" customWidth="1"/>
    <col min="4872" max="5113" width="11.44140625" style="78"/>
    <col min="5114" max="5114" width="30.33203125" style="78" customWidth="1"/>
    <col min="5115" max="5115" width="10.44140625" style="78" customWidth="1"/>
    <col min="5116" max="5117" width="11.44140625" style="78"/>
    <col min="5118" max="5118" width="10.33203125" style="78" customWidth="1"/>
    <col min="5119" max="5119" width="9.5546875" style="78" customWidth="1"/>
    <col min="5120" max="5120" width="13.109375" style="78" customWidth="1"/>
    <col min="5121" max="5121" width="9.88671875" style="78" customWidth="1"/>
    <col min="5122" max="5122" width="9.109375" style="78" customWidth="1"/>
    <col min="5123" max="5124" width="13.88671875" style="78" customWidth="1"/>
    <col min="5125" max="5125" width="10.5546875" style="78" customWidth="1"/>
    <col min="5126" max="5126" width="15.109375" style="78" customWidth="1"/>
    <col min="5127" max="5127" width="20.44140625" style="78" customWidth="1"/>
    <col min="5128" max="5369" width="11.44140625" style="78"/>
    <col min="5370" max="5370" width="30.33203125" style="78" customWidth="1"/>
    <col min="5371" max="5371" width="10.44140625" style="78" customWidth="1"/>
    <col min="5372" max="5373" width="11.44140625" style="78"/>
    <col min="5374" max="5374" width="10.33203125" style="78" customWidth="1"/>
    <col min="5375" max="5375" width="9.5546875" style="78" customWidth="1"/>
    <col min="5376" max="5376" width="13.109375" style="78" customWidth="1"/>
    <col min="5377" max="5377" width="9.88671875" style="78" customWidth="1"/>
    <col min="5378" max="5378" width="9.109375" style="78" customWidth="1"/>
    <col min="5379" max="5380" width="13.88671875" style="78" customWidth="1"/>
    <col min="5381" max="5381" width="10.5546875" style="78" customWidth="1"/>
    <col min="5382" max="5382" width="15.109375" style="78" customWidth="1"/>
    <col min="5383" max="5383" width="20.44140625" style="78" customWidth="1"/>
    <col min="5384" max="5625" width="11.44140625" style="78"/>
    <col min="5626" max="5626" width="30.33203125" style="78" customWidth="1"/>
    <col min="5627" max="5627" width="10.44140625" style="78" customWidth="1"/>
    <col min="5628" max="5629" width="11.44140625" style="78"/>
    <col min="5630" max="5630" width="10.33203125" style="78" customWidth="1"/>
    <col min="5631" max="5631" width="9.5546875" style="78" customWidth="1"/>
    <col min="5632" max="5632" width="13.109375" style="78" customWidth="1"/>
    <col min="5633" max="5633" width="9.88671875" style="78" customWidth="1"/>
    <col min="5634" max="5634" width="9.109375" style="78" customWidth="1"/>
    <col min="5635" max="5636" width="13.88671875" style="78" customWidth="1"/>
    <col min="5637" max="5637" width="10.5546875" style="78" customWidth="1"/>
    <col min="5638" max="5638" width="15.109375" style="78" customWidth="1"/>
    <col min="5639" max="5639" width="20.44140625" style="78" customWidth="1"/>
    <col min="5640" max="5881" width="11.44140625" style="78"/>
    <col min="5882" max="5882" width="30.33203125" style="78" customWidth="1"/>
    <col min="5883" max="5883" width="10.44140625" style="78" customWidth="1"/>
    <col min="5884" max="5885" width="11.44140625" style="78"/>
    <col min="5886" max="5886" width="10.33203125" style="78" customWidth="1"/>
    <col min="5887" max="5887" width="9.5546875" style="78" customWidth="1"/>
    <col min="5888" max="5888" width="13.109375" style="78" customWidth="1"/>
    <col min="5889" max="5889" width="9.88671875" style="78" customWidth="1"/>
    <col min="5890" max="5890" width="9.109375" style="78" customWidth="1"/>
    <col min="5891" max="5892" width="13.88671875" style="78" customWidth="1"/>
    <col min="5893" max="5893" width="10.5546875" style="78" customWidth="1"/>
    <col min="5894" max="5894" width="15.109375" style="78" customWidth="1"/>
    <col min="5895" max="5895" width="20.44140625" style="78" customWidth="1"/>
    <col min="5896" max="6137" width="11.44140625" style="78"/>
    <col min="6138" max="6138" width="30.33203125" style="78" customWidth="1"/>
    <col min="6139" max="6139" width="10.44140625" style="78" customWidth="1"/>
    <col min="6140" max="6141" width="11.44140625" style="78"/>
    <col min="6142" max="6142" width="10.33203125" style="78" customWidth="1"/>
    <col min="6143" max="6143" width="9.5546875" style="78" customWidth="1"/>
    <col min="6144" max="6144" width="13.109375" style="78" customWidth="1"/>
    <col min="6145" max="6145" width="9.88671875" style="78" customWidth="1"/>
    <col min="6146" max="6146" width="9.109375" style="78" customWidth="1"/>
    <col min="6147" max="6148" width="13.88671875" style="78" customWidth="1"/>
    <col min="6149" max="6149" width="10.5546875" style="78" customWidth="1"/>
    <col min="6150" max="6150" width="15.109375" style="78" customWidth="1"/>
    <col min="6151" max="6151" width="20.44140625" style="78" customWidth="1"/>
    <col min="6152" max="6393" width="11.44140625" style="78"/>
    <col min="6394" max="6394" width="30.33203125" style="78" customWidth="1"/>
    <col min="6395" max="6395" width="10.44140625" style="78" customWidth="1"/>
    <col min="6396" max="6397" width="11.44140625" style="78"/>
    <col min="6398" max="6398" width="10.33203125" style="78" customWidth="1"/>
    <col min="6399" max="6399" width="9.5546875" style="78" customWidth="1"/>
    <col min="6400" max="6400" width="13.109375" style="78" customWidth="1"/>
    <col min="6401" max="6401" width="9.88671875" style="78" customWidth="1"/>
    <col min="6402" max="6402" width="9.109375" style="78" customWidth="1"/>
    <col min="6403" max="6404" width="13.88671875" style="78" customWidth="1"/>
    <col min="6405" max="6405" width="10.5546875" style="78" customWidth="1"/>
    <col min="6406" max="6406" width="15.109375" style="78" customWidth="1"/>
    <col min="6407" max="6407" width="20.44140625" style="78" customWidth="1"/>
    <col min="6408" max="6649" width="11.44140625" style="78"/>
    <col min="6650" max="6650" width="30.33203125" style="78" customWidth="1"/>
    <col min="6651" max="6651" width="10.44140625" style="78" customWidth="1"/>
    <col min="6652" max="6653" width="11.44140625" style="78"/>
    <col min="6654" max="6654" width="10.33203125" style="78" customWidth="1"/>
    <col min="6655" max="6655" width="9.5546875" style="78" customWidth="1"/>
    <col min="6656" max="6656" width="13.109375" style="78" customWidth="1"/>
    <col min="6657" max="6657" width="9.88671875" style="78" customWidth="1"/>
    <col min="6658" max="6658" width="9.109375" style="78" customWidth="1"/>
    <col min="6659" max="6660" width="13.88671875" style="78" customWidth="1"/>
    <col min="6661" max="6661" width="10.5546875" style="78" customWidth="1"/>
    <col min="6662" max="6662" width="15.109375" style="78" customWidth="1"/>
    <col min="6663" max="6663" width="20.44140625" style="78" customWidth="1"/>
    <col min="6664" max="6905" width="11.44140625" style="78"/>
    <col min="6906" max="6906" width="30.33203125" style="78" customWidth="1"/>
    <col min="6907" max="6907" width="10.44140625" style="78" customWidth="1"/>
    <col min="6908" max="6909" width="11.44140625" style="78"/>
    <col min="6910" max="6910" width="10.33203125" style="78" customWidth="1"/>
    <col min="6911" max="6911" width="9.5546875" style="78" customWidth="1"/>
    <col min="6912" max="6912" width="13.109375" style="78" customWidth="1"/>
    <col min="6913" max="6913" width="9.88671875" style="78" customWidth="1"/>
    <col min="6914" max="6914" width="9.109375" style="78" customWidth="1"/>
    <col min="6915" max="6916" width="13.88671875" style="78" customWidth="1"/>
    <col min="6917" max="6917" width="10.5546875" style="78" customWidth="1"/>
    <col min="6918" max="6918" width="15.109375" style="78" customWidth="1"/>
    <col min="6919" max="6919" width="20.44140625" style="78" customWidth="1"/>
    <col min="6920" max="7161" width="11.44140625" style="78"/>
    <col min="7162" max="7162" width="30.33203125" style="78" customWidth="1"/>
    <col min="7163" max="7163" width="10.44140625" style="78" customWidth="1"/>
    <col min="7164" max="7165" width="11.44140625" style="78"/>
    <col min="7166" max="7166" width="10.33203125" style="78" customWidth="1"/>
    <col min="7167" max="7167" width="9.5546875" style="78" customWidth="1"/>
    <col min="7168" max="7168" width="13.109375" style="78" customWidth="1"/>
    <col min="7169" max="7169" width="9.88671875" style="78" customWidth="1"/>
    <col min="7170" max="7170" width="9.109375" style="78" customWidth="1"/>
    <col min="7171" max="7172" width="13.88671875" style="78" customWidth="1"/>
    <col min="7173" max="7173" width="10.5546875" style="78" customWidth="1"/>
    <col min="7174" max="7174" width="15.109375" style="78" customWidth="1"/>
    <col min="7175" max="7175" width="20.44140625" style="78" customWidth="1"/>
    <col min="7176" max="7417" width="11.44140625" style="78"/>
    <col min="7418" max="7418" width="30.33203125" style="78" customWidth="1"/>
    <col min="7419" max="7419" width="10.44140625" style="78" customWidth="1"/>
    <col min="7420" max="7421" width="11.44140625" style="78"/>
    <col min="7422" max="7422" width="10.33203125" style="78" customWidth="1"/>
    <col min="7423" max="7423" width="9.5546875" style="78" customWidth="1"/>
    <col min="7424" max="7424" width="13.109375" style="78" customWidth="1"/>
    <col min="7425" max="7425" width="9.88671875" style="78" customWidth="1"/>
    <col min="7426" max="7426" width="9.109375" style="78" customWidth="1"/>
    <col min="7427" max="7428" width="13.88671875" style="78" customWidth="1"/>
    <col min="7429" max="7429" width="10.5546875" style="78" customWidth="1"/>
    <col min="7430" max="7430" width="15.109375" style="78" customWidth="1"/>
    <col min="7431" max="7431" width="20.44140625" style="78" customWidth="1"/>
    <col min="7432" max="7673" width="11.44140625" style="78"/>
    <col min="7674" max="7674" width="30.33203125" style="78" customWidth="1"/>
    <col min="7675" max="7675" width="10.44140625" style="78" customWidth="1"/>
    <col min="7676" max="7677" width="11.44140625" style="78"/>
    <col min="7678" max="7678" width="10.33203125" style="78" customWidth="1"/>
    <col min="7679" max="7679" width="9.5546875" style="78" customWidth="1"/>
    <col min="7680" max="7680" width="13.109375" style="78" customWidth="1"/>
    <col min="7681" max="7681" width="9.88671875" style="78" customWidth="1"/>
    <col min="7682" max="7682" width="9.109375" style="78" customWidth="1"/>
    <col min="7683" max="7684" width="13.88671875" style="78" customWidth="1"/>
    <col min="7685" max="7685" width="10.5546875" style="78" customWidth="1"/>
    <col min="7686" max="7686" width="15.109375" style="78" customWidth="1"/>
    <col min="7687" max="7687" width="20.44140625" style="78" customWidth="1"/>
    <col min="7688" max="7929" width="11.44140625" style="78"/>
    <col min="7930" max="7930" width="30.33203125" style="78" customWidth="1"/>
    <col min="7931" max="7931" width="10.44140625" style="78" customWidth="1"/>
    <col min="7932" max="7933" width="11.44140625" style="78"/>
    <col min="7934" max="7934" width="10.33203125" style="78" customWidth="1"/>
    <col min="7935" max="7935" width="9.5546875" style="78" customWidth="1"/>
    <col min="7936" max="7936" width="13.109375" style="78" customWidth="1"/>
    <col min="7937" max="7937" width="9.88671875" style="78" customWidth="1"/>
    <col min="7938" max="7938" width="9.109375" style="78" customWidth="1"/>
    <col min="7939" max="7940" width="13.88671875" style="78" customWidth="1"/>
    <col min="7941" max="7941" width="10.5546875" style="78" customWidth="1"/>
    <col min="7942" max="7942" width="15.109375" style="78" customWidth="1"/>
    <col min="7943" max="7943" width="20.44140625" style="78" customWidth="1"/>
    <col min="7944" max="8185" width="11.44140625" style="78"/>
    <col min="8186" max="8186" width="30.33203125" style="78" customWidth="1"/>
    <col min="8187" max="8187" width="10.44140625" style="78" customWidth="1"/>
    <col min="8188" max="8189" width="11.44140625" style="78"/>
    <col min="8190" max="8190" width="10.33203125" style="78" customWidth="1"/>
    <col min="8191" max="8191" width="9.5546875" style="78" customWidth="1"/>
    <col min="8192" max="8192" width="13.109375" style="78" customWidth="1"/>
    <col min="8193" max="8193" width="9.88671875" style="78" customWidth="1"/>
    <col min="8194" max="8194" width="9.109375" style="78" customWidth="1"/>
    <col min="8195" max="8196" width="13.88671875" style="78" customWidth="1"/>
    <col min="8197" max="8197" width="10.5546875" style="78" customWidth="1"/>
    <col min="8198" max="8198" width="15.109375" style="78" customWidth="1"/>
    <col min="8199" max="8199" width="20.44140625" style="78" customWidth="1"/>
    <col min="8200" max="8441" width="11.44140625" style="78"/>
    <col min="8442" max="8442" width="30.33203125" style="78" customWidth="1"/>
    <col min="8443" max="8443" width="10.44140625" style="78" customWidth="1"/>
    <col min="8444" max="8445" width="11.44140625" style="78"/>
    <col min="8446" max="8446" width="10.33203125" style="78" customWidth="1"/>
    <col min="8447" max="8447" width="9.5546875" style="78" customWidth="1"/>
    <col min="8448" max="8448" width="13.109375" style="78" customWidth="1"/>
    <col min="8449" max="8449" width="9.88671875" style="78" customWidth="1"/>
    <col min="8450" max="8450" width="9.109375" style="78" customWidth="1"/>
    <col min="8451" max="8452" width="13.88671875" style="78" customWidth="1"/>
    <col min="8453" max="8453" width="10.5546875" style="78" customWidth="1"/>
    <col min="8454" max="8454" width="15.109375" style="78" customWidth="1"/>
    <col min="8455" max="8455" width="20.44140625" style="78" customWidth="1"/>
    <col min="8456" max="8697" width="11.44140625" style="78"/>
    <col min="8698" max="8698" width="30.33203125" style="78" customWidth="1"/>
    <col min="8699" max="8699" width="10.44140625" style="78" customWidth="1"/>
    <col min="8700" max="8701" width="11.44140625" style="78"/>
    <col min="8702" max="8702" width="10.33203125" style="78" customWidth="1"/>
    <col min="8703" max="8703" width="9.5546875" style="78" customWidth="1"/>
    <col min="8704" max="8704" width="13.109375" style="78" customWidth="1"/>
    <col min="8705" max="8705" width="9.88671875" style="78" customWidth="1"/>
    <col min="8706" max="8706" width="9.109375" style="78" customWidth="1"/>
    <col min="8707" max="8708" width="13.88671875" style="78" customWidth="1"/>
    <col min="8709" max="8709" width="10.5546875" style="78" customWidth="1"/>
    <col min="8710" max="8710" width="15.109375" style="78" customWidth="1"/>
    <col min="8711" max="8711" width="20.44140625" style="78" customWidth="1"/>
    <col min="8712" max="8953" width="11.44140625" style="78"/>
    <col min="8954" max="8954" width="30.33203125" style="78" customWidth="1"/>
    <col min="8955" max="8955" width="10.44140625" style="78" customWidth="1"/>
    <col min="8956" max="8957" width="11.44140625" style="78"/>
    <col min="8958" max="8958" width="10.33203125" style="78" customWidth="1"/>
    <col min="8959" max="8959" width="9.5546875" style="78" customWidth="1"/>
    <col min="8960" max="8960" width="13.109375" style="78" customWidth="1"/>
    <col min="8961" max="8961" width="9.88671875" style="78" customWidth="1"/>
    <col min="8962" max="8962" width="9.109375" style="78" customWidth="1"/>
    <col min="8963" max="8964" width="13.88671875" style="78" customWidth="1"/>
    <col min="8965" max="8965" width="10.5546875" style="78" customWidth="1"/>
    <col min="8966" max="8966" width="15.109375" style="78" customWidth="1"/>
    <col min="8967" max="8967" width="20.44140625" style="78" customWidth="1"/>
    <col min="8968" max="9209" width="11.44140625" style="78"/>
    <col min="9210" max="9210" width="30.33203125" style="78" customWidth="1"/>
    <col min="9211" max="9211" width="10.44140625" style="78" customWidth="1"/>
    <col min="9212" max="9213" width="11.44140625" style="78"/>
    <col min="9214" max="9214" width="10.33203125" style="78" customWidth="1"/>
    <col min="9215" max="9215" width="9.5546875" style="78" customWidth="1"/>
    <col min="9216" max="9216" width="13.109375" style="78" customWidth="1"/>
    <col min="9217" max="9217" width="9.88671875" style="78" customWidth="1"/>
    <col min="9218" max="9218" width="9.109375" style="78" customWidth="1"/>
    <col min="9219" max="9220" width="13.88671875" style="78" customWidth="1"/>
    <col min="9221" max="9221" width="10.5546875" style="78" customWidth="1"/>
    <col min="9222" max="9222" width="15.109375" style="78" customWidth="1"/>
    <col min="9223" max="9223" width="20.44140625" style="78" customWidth="1"/>
    <col min="9224" max="9465" width="11.44140625" style="78"/>
    <col min="9466" max="9466" width="30.33203125" style="78" customWidth="1"/>
    <col min="9467" max="9467" width="10.44140625" style="78" customWidth="1"/>
    <col min="9468" max="9469" width="11.44140625" style="78"/>
    <col min="9470" max="9470" width="10.33203125" style="78" customWidth="1"/>
    <col min="9471" max="9471" width="9.5546875" style="78" customWidth="1"/>
    <col min="9472" max="9472" width="13.109375" style="78" customWidth="1"/>
    <col min="9473" max="9473" width="9.88671875" style="78" customWidth="1"/>
    <col min="9474" max="9474" width="9.109375" style="78" customWidth="1"/>
    <col min="9475" max="9476" width="13.88671875" style="78" customWidth="1"/>
    <col min="9477" max="9477" width="10.5546875" style="78" customWidth="1"/>
    <col min="9478" max="9478" width="15.109375" style="78" customWidth="1"/>
    <col min="9479" max="9479" width="20.44140625" style="78" customWidth="1"/>
    <col min="9480" max="9721" width="11.44140625" style="78"/>
    <col min="9722" max="9722" width="30.33203125" style="78" customWidth="1"/>
    <col min="9723" max="9723" width="10.44140625" style="78" customWidth="1"/>
    <col min="9724" max="9725" width="11.44140625" style="78"/>
    <col min="9726" max="9726" width="10.33203125" style="78" customWidth="1"/>
    <col min="9727" max="9727" width="9.5546875" style="78" customWidth="1"/>
    <col min="9728" max="9728" width="13.109375" style="78" customWidth="1"/>
    <col min="9729" max="9729" width="9.88671875" style="78" customWidth="1"/>
    <col min="9730" max="9730" width="9.109375" style="78" customWidth="1"/>
    <col min="9731" max="9732" width="13.88671875" style="78" customWidth="1"/>
    <col min="9733" max="9733" width="10.5546875" style="78" customWidth="1"/>
    <col min="9734" max="9734" width="15.109375" style="78" customWidth="1"/>
    <col min="9735" max="9735" width="20.44140625" style="78" customWidth="1"/>
    <col min="9736" max="9977" width="11.44140625" style="78"/>
    <col min="9978" max="9978" width="30.33203125" style="78" customWidth="1"/>
    <col min="9979" max="9979" width="10.44140625" style="78" customWidth="1"/>
    <col min="9980" max="9981" width="11.44140625" style="78"/>
    <col min="9982" max="9982" width="10.33203125" style="78" customWidth="1"/>
    <col min="9983" max="9983" width="9.5546875" style="78" customWidth="1"/>
    <col min="9984" max="9984" width="13.109375" style="78" customWidth="1"/>
    <col min="9985" max="9985" width="9.88671875" style="78" customWidth="1"/>
    <col min="9986" max="9986" width="9.109375" style="78" customWidth="1"/>
    <col min="9987" max="9988" width="13.88671875" style="78" customWidth="1"/>
    <col min="9989" max="9989" width="10.5546875" style="78" customWidth="1"/>
    <col min="9990" max="9990" width="15.109375" style="78" customWidth="1"/>
    <col min="9991" max="9991" width="20.44140625" style="78" customWidth="1"/>
    <col min="9992" max="10233" width="11.44140625" style="78"/>
    <col min="10234" max="10234" width="30.33203125" style="78" customWidth="1"/>
    <col min="10235" max="10235" width="10.44140625" style="78" customWidth="1"/>
    <col min="10236" max="10237" width="11.44140625" style="78"/>
    <col min="10238" max="10238" width="10.33203125" style="78" customWidth="1"/>
    <col min="10239" max="10239" width="9.5546875" style="78" customWidth="1"/>
    <col min="10240" max="10240" width="13.109375" style="78" customWidth="1"/>
    <col min="10241" max="10241" width="9.88671875" style="78" customWidth="1"/>
    <col min="10242" max="10242" width="9.109375" style="78" customWidth="1"/>
    <col min="10243" max="10244" width="13.88671875" style="78" customWidth="1"/>
    <col min="10245" max="10245" width="10.5546875" style="78" customWidth="1"/>
    <col min="10246" max="10246" width="15.109375" style="78" customWidth="1"/>
    <col min="10247" max="10247" width="20.44140625" style="78" customWidth="1"/>
    <col min="10248" max="10489" width="11.44140625" style="78"/>
    <col min="10490" max="10490" width="30.33203125" style="78" customWidth="1"/>
    <col min="10491" max="10491" width="10.44140625" style="78" customWidth="1"/>
    <col min="10492" max="10493" width="11.44140625" style="78"/>
    <col min="10494" max="10494" width="10.33203125" style="78" customWidth="1"/>
    <col min="10495" max="10495" width="9.5546875" style="78" customWidth="1"/>
    <col min="10496" max="10496" width="13.109375" style="78" customWidth="1"/>
    <col min="10497" max="10497" width="9.88671875" style="78" customWidth="1"/>
    <col min="10498" max="10498" width="9.109375" style="78" customWidth="1"/>
    <col min="10499" max="10500" width="13.88671875" style="78" customWidth="1"/>
    <col min="10501" max="10501" width="10.5546875" style="78" customWidth="1"/>
    <col min="10502" max="10502" width="15.109375" style="78" customWidth="1"/>
    <col min="10503" max="10503" width="20.44140625" style="78" customWidth="1"/>
    <col min="10504" max="10745" width="11.44140625" style="78"/>
    <col min="10746" max="10746" width="30.33203125" style="78" customWidth="1"/>
    <col min="10747" max="10747" width="10.44140625" style="78" customWidth="1"/>
    <col min="10748" max="10749" width="11.44140625" style="78"/>
    <col min="10750" max="10750" width="10.33203125" style="78" customWidth="1"/>
    <col min="10751" max="10751" width="9.5546875" style="78" customWidth="1"/>
    <col min="10752" max="10752" width="13.109375" style="78" customWidth="1"/>
    <col min="10753" max="10753" width="9.88671875" style="78" customWidth="1"/>
    <col min="10754" max="10754" width="9.109375" style="78" customWidth="1"/>
    <col min="10755" max="10756" width="13.88671875" style="78" customWidth="1"/>
    <col min="10757" max="10757" width="10.5546875" style="78" customWidth="1"/>
    <col min="10758" max="10758" width="15.109375" style="78" customWidth="1"/>
    <col min="10759" max="10759" width="20.44140625" style="78" customWidth="1"/>
    <col min="10760" max="11001" width="11.44140625" style="78"/>
    <col min="11002" max="11002" width="30.33203125" style="78" customWidth="1"/>
    <col min="11003" max="11003" width="10.44140625" style="78" customWidth="1"/>
    <col min="11004" max="11005" width="11.44140625" style="78"/>
    <col min="11006" max="11006" width="10.33203125" style="78" customWidth="1"/>
    <col min="11007" max="11007" width="9.5546875" style="78" customWidth="1"/>
    <col min="11008" max="11008" width="13.109375" style="78" customWidth="1"/>
    <col min="11009" max="11009" width="9.88671875" style="78" customWidth="1"/>
    <col min="11010" max="11010" width="9.109375" style="78" customWidth="1"/>
    <col min="11011" max="11012" width="13.88671875" style="78" customWidth="1"/>
    <col min="11013" max="11013" width="10.5546875" style="78" customWidth="1"/>
    <col min="11014" max="11014" width="15.109375" style="78" customWidth="1"/>
    <col min="11015" max="11015" width="20.44140625" style="78" customWidth="1"/>
    <col min="11016" max="11257" width="11.44140625" style="78"/>
    <col min="11258" max="11258" width="30.33203125" style="78" customWidth="1"/>
    <col min="11259" max="11259" width="10.44140625" style="78" customWidth="1"/>
    <col min="11260" max="11261" width="11.44140625" style="78"/>
    <col min="11262" max="11262" width="10.33203125" style="78" customWidth="1"/>
    <col min="11263" max="11263" width="9.5546875" style="78" customWidth="1"/>
    <col min="11264" max="11264" width="13.109375" style="78" customWidth="1"/>
    <col min="11265" max="11265" width="9.88671875" style="78" customWidth="1"/>
    <col min="11266" max="11266" width="9.109375" style="78" customWidth="1"/>
    <col min="11267" max="11268" width="13.88671875" style="78" customWidth="1"/>
    <col min="11269" max="11269" width="10.5546875" style="78" customWidth="1"/>
    <col min="11270" max="11270" width="15.109375" style="78" customWidth="1"/>
    <col min="11271" max="11271" width="20.44140625" style="78" customWidth="1"/>
    <col min="11272" max="11513" width="11.44140625" style="78"/>
    <col min="11514" max="11514" width="30.33203125" style="78" customWidth="1"/>
    <col min="11515" max="11515" width="10.44140625" style="78" customWidth="1"/>
    <col min="11516" max="11517" width="11.44140625" style="78"/>
    <col min="11518" max="11518" width="10.33203125" style="78" customWidth="1"/>
    <col min="11519" max="11519" width="9.5546875" style="78" customWidth="1"/>
    <col min="11520" max="11520" width="13.109375" style="78" customWidth="1"/>
    <col min="11521" max="11521" width="9.88671875" style="78" customWidth="1"/>
    <col min="11522" max="11522" width="9.109375" style="78" customWidth="1"/>
    <col min="11523" max="11524" width="13.88671875" style="78" customWidth="1"/>
    <col min="11525" max="11525" width="10.5546875" style="78" customWidth="1"/>
    <col min="11526" max="11526" width="15.109375" style="78" customWidth="1"/>
    <col min="11527" max="11527" width="20.44140625" style="78" customWidth="1"/>
    <col min="11528" max="11769" width="11.44140625" style="78"/>
    <col min="11770" max="11770" width="30.33203125" style="78" customWidth="1"/>
    <col min="11771" max="11771" width="10.44140625" style="78" customWidth="1"/>
    <col min="11772" max="11773" width="11.44140625" style="78"/>
    <col min="11774" max="11774" width="10.33203125" style="78" customWidth="1"/>
    <col min="11775" max="11775" width="9.5546875" style="78" customWidth="1"/>
    <col min="11776" max="11776" width="13.109375" style="78" customWidth="1"/>
    <col min="11777" max="11777" width="9.88671875" style="78" customWidth="1"/>
    <col min="11778" max="11778" width="9.109375" style="78" customWidth="1"/>
    <col min="11779" max="11780" width="13.88671875" style="78" customWidth="1"/>
    <col min="11781" max="11781" width="10.5546875" style="78" customWidth="1"/>
    <col min="11782" max="11782" width="15.109375" style="78" customWidth="1"/>
    <col min="11783" max="11783" width="20.44140625" style="78" customWidth="1"/>
    <col min="11784" max="12025" width="11.44140625" style="78"/>
    <col min="12026" max="12026" width="30.33203125" style="78" customWidth="1"/>
    <col min="12027" max="12027" width="10.44140625" style="78" customWidth="1"/>
    <col min="12028" max="12029" width="11.44140625" style="78"/>
    <col min="12030" max="12030" width="10.33203125" style="78" customWidth="1"/>
    <col min="12031" max="12031" width="9.5546875" style="78" customWidth="1"/>
    <col min="12032" max="12032" width="13.109375" style="78" customWidth="1"/>
    <col min="12033" max="12033" width="9.88671875" style="78" customWidth="1"/>
    <col min="12034" max="12034" width="9.109375" style="78" customWidth="1"/>
    <col min="12035" max="12036" width="13.88671875" style="78" customWidth="1"/>
    <col min="12037" max="12037" width="10.5546875" style="78" customWidth="1"/>
    <col min="12038" max="12038" width="15.109375" style="78" customWidth="1"/>
    <col min="12039" max="12039" width="20.44140625" style="78" customWidth="1"/>
    <col min="12040" max="12281" width="11.44140625" style="78"/>
    <col min="12282" max="12282" width="30.33203125" style="78" customWidth="1"/>
    <col min="12283" max="12283" width="10.44140625" style="78" customWidth="1"/>
    <col min="12284" max="12285" width="11.44140625" style="78"/>
    <col min="12286" max="12286" width="10.33203125" style="78" customWidth="1"/>
    <col min="12287" max="12287" width="9.5546875" style="78" customWidth="1"/>
    <col min="12288" max="12288" width="13.109375" style="78" customWidth="1"/>
    <col min="12289" max="12289" width="9.88671875" style="78" customWidth="1"/>
    <col min="12290" max="12290" width="9.109375" style="78" customWidth="1"/>
    <col min="12291" max="12292" width="13.88671875" style="78" customWidth="1"/>
    <col min="12293" max="12293" width="10.5546875" style="78" customWidth="1"/>
    <col min="12294" max="12294" width="15.109375" style="78" customWidth="1"/>
    <col min="12295" max="12295" width="20.44140625" style="78" customWidth="1"/>
    <col min="12296" max="12537" width="11.44140625" style="78"/>
    <col min="12538" max="12538" width="30.33203125" style="78" customWidth="1"/>
    <col min="12539" max="12539" width="10.44140625" style="78" customWidth="1"/>
    <col min="12540" max="12541" width="11.44140625" style="78"/>
    <col min="12542" max="12542" width="10.33203125" style="78" customWidth="1"/>
    <col min="12543" max="12543" width="9.5546875" style="78" customWidth="1"/>
    <col min="12544" max="12544" width="13.109375" style="78" customWidth="1"/>
    <col min="12545" max="12545" width="9.88671875" style="78" customWidth="1"/>
    <col min="12546" max="12546" width="9.109375" style="78" customWidth="1"/>
    <col min="12547" max="12548" width="13.88671875" style="78" customWidth="1"/>
    <col min="12549" max="12549" width="10.5546875" style="78" customWidth="1"/>
    <col min="12550" max="12550" width="15.109375" style="78" customWidth="1"/>
    <col min="12551" max="12551" width="20.44140625" style="78" customWidth="1"/>
    <col min="12552" max="12793" width="11.44140625" style="78"/>
    <col min="12794" max="12794" width="30.33203125" style="78" customWidth="1"/>
    <col min="12795" max="12795" width="10.44140625" style="78" customWidth="1"/>
    <col min="12796" max="12797" width="11.44140625" style="78"/>
    <col min="12798" max="12798" width="10.33203125" style="78" customWidth="1"/>
    <col min="12799" max="12799" width="9.5546875" style="78" customWidth="1"/>
    <col min="12800" max="12800" width="13.109375" style="78" customWidth="1"/>
    <col min="12801" max="12801" width="9.88671875" style="78" customWidth="1"/>
    <col min="12802" max="12802" width="9.109375" style="78" customWidth="1"/>
    <col min="12803" max="12804" width="13.88671875" style="78" customWidth="1"/>
    <col min="12805" max="12805" width="10.5546875" style="78" customWidth="1"/>
    <col min="12806" max="12806" width="15.109375" style="78" customWidth="1"/>
    <col min="12807" max="12807" width="20.44140625" style="78" customWidth="1"/>
    <col min="12808" max="13049" width="11.44140625" style="78"/>
    <col min="13050" max="13050" width="30.33203125" style="78" customWidth="1"/>
    <col min="13051" max="13051" width="10.44140625" style="78" customWidth="1"/>
    <col min="13052" max="13053" width="11.44140625" style="78"/>
    <col min="13054" max="13054" width="10.33203125" style="78" customWidth="1"/>
    <col min="13055" max="13055" width="9.5546875" style="78" customWidth="1"/>
    <col min="13056" max="13056" width="13.109375" style="78" customWidth="1"/>
    <col min="13057" max="13057" width="9.88671875" style="78" customWidth="1"/>
    <col min="13058" max="13058" width="9.109375" style="78" customWidth="1"/>
    <col min="13059" max="13060" width="13.88671875" style="78" customWidth="1"/>
    <col min="13061" max="13061" width="10.5546875" style="78" customWidth="1"/>
    <col min="13062" max="13062" width="15.109375" style="78" customWidth="1"/>
    <col min="13063" max="13063" width="20.44140625" style="78" customWidth="1"/>
    <col min="13064" max="13305" width="11.44140625" style="78"/>
    <col min="13306" max="13306" width="30.33203125" style="78" customWidth="1"/>
    <col min="13307" max="13307" width="10.44140625" style="78" customWidth="1"/>
    <col min="13308" max="13309" width="11.44140625" style="78"/>
    <col min="13310" max="13310" width="10.33203125" style="78" customWidth="1"/>
    <col min="13311" max="13311" width="9.5546875" style="78" customWidth="1"/>
    <col min="13312" max="13312" width="13.109375" style="78" customWidth="1"/>
    <col min="13313" max="13313" width="9.88671875" style="78" customWidth="1"/>
    <col min="13314" max="13314" width="9.109375" style="78" customWidth="1"/>
    <col min="13315" max="13316" width="13.88671875" style="78" customWidth="1"/>
    <col min="13317" max="13317" width="10.5546875" style="78" customWidth="1"/>
    <col min="13318" max="13318" width="15.109375" style="78" customWidth="1"/>
    <col min="13319" max="13319" width="20.44140625" style="78" customWidth="1"/>
    <col min="13320" max="13561" width="11.44140625" style="78"/>
    <col min="13562" max="13562" width="30.33203125" style="78" customWidth="1"/>
    <col min="13563" max="13563" width="10.44140625" style="78" customWidth="1"/>
    <col min="13564" max="13565" width="11.44140625" style="78"/>
    <col min="13566" max="13566" width="10.33203125" style="78" customWidth="1"/>
    <col min="13567" max="13567" width="9.5546875" style="78" customWidth="1"/>
    <col min="13568" max="13568" width="13.109375" style="78" customWidth="1"/>
    <col min="13569" max="13569" width="9.88671875" style="78" customWidth="1"/>
    <col min="13570" max="13570" width="9.109375" style="78" customWidth="1"/>
    <col min="13571" max="13572" width="13.88671875" style="78" customWidth="1"/>
    <col min="13573" max="13573" width="10.5546875" style="78" customWidth="1"/>
    <col min="13574" max="13574" width="15.109375" style="78" customWidth="1"/>
    <col min="13575" max="13575" width="20.44140625" style="78" customWidth="1"/>
    <col min="13576" max="13817" width="11.44140625" style="78"/>
    <col min="13818" max="13818" width="30.33203125" style="78" customWidth="1"/>
    <col min="13819" max="13819" width="10.44140625" style="78" customWidth="1"/>
    <col min="13820" max="13821" width="11.44140625" style="78"/>
    <col min="13822" max="13822" width="10.33203125" style="78" customWidth="1"/>
    <col min="13823" max="13823" width="9.5546875" style="78" customWidth="1"/>
    <col min="13824" max="13824" width="13.109375" style="78" customWidth="1"/>
    <col min="13825" max="13825" width="9.88671875" style="78" customWidth="1"/>
    <col min="13826" max="13826" width="9.109375" style="78" customWidth="1"/>
    <col min="13827" max="13828" width="13.88671875" style="78" customWidth="1"/>
    <col min="13829" max="13829" width="10.5546875" style="78" customWidth="1"/>
    <col min="13830" max="13830" width="15.109375" style="78" customWidth="1"/>
    <col min="13831" max="13831" width="20.44140625" style="78" customWidth="1"/>
    <col min="13832" max="14073" width="11.44140625" style="78"/>
    <col min="14074" max="14074" width="30.33203125" style="78" customWidth="1"/>
    <col min="14075" max="14075" width="10.44140625" style="78" customWidth="1"/>
    <col min="14076" max="14077" width="11.44140625" style="78"/>
    <col min="14078" max="14078" width="10.33203125" style="78" customWidth="1"/>
    <col min="14079" max="14079" width="9.5546875" style="78" customWidth="1"/>
    <col min="14080" max="14080" width="13.109375" style="78" customWidth="1"/>
    <col min="14081" max="14081" width="9.88671875" style="78" customWidth="1"/>
    <col min="14082" max="14082" width="9.109375" style="78" customWidth="1"/>
    <col min="14083" max="14084" width="13.88671875" style="78" customWidth="1"/>
    <col min="14085" max="14085" width="10.5546875" style="78" customWidth="1"/>
    <col min="14086" max="14086" width="15.109375" style="78" customWidth="1"/>
    <col min="14087" max="14087" width="20.44140625" style="78" customWidth="1"/>
    <col min="14088" max="14329" width="11.44140625" style="78"/>
    <col min="14330" max="14330" width="30.33203125" style="78" customWidth="1"/>
    <col min="14331" max="14331" width="10.44140625" style="78" customWidth="1"/>
    <col min="14332" max="14333" width="11.44140625" style="78"/>
    <col min="14334" max="14334" width="10.33203125" style="78" customWidth="1"/>
    <col min="14335" max="14335" width="9.5546875" style="78" customWidth="1"/>
    <col min="14336" max="14336" width="13.109375" style="78" customWidth="1"/>
    <col min="14337" max="14337" width="9.88671875" style="78" customWidth="1"/>
    <col min="14338" max="14338" width="9.109375" style="78" customWidth="1"/>
    <col min="14339" max="14340" width="13.88671875" style="78" customWidth="1"/>
    <col min="14341" max="14341" width="10.5546875" style="78" customWidth="1"/>
    <col min="14342" max="14342" width="15.109375" style="78" customWidth="1"/>
    <col min="14343" max="14343" width="20.44140625" style="78" customWidth="1"/>
    <col min="14344" max="14585" width="11.44140625" style="78"/>
    <col min="14586" max="14586" width="30.33203125" style="78" customWidth="1"/>
    <col min="14587" max="14587" width="10.44140625" style="78" customWidth="1"/>
    <col min="14588" max="14589" width="11.44140625" style="78"/>
    <col min="14590" max="14590" width="10.33203125" style="78" customWidth="1"/>
    <col min="14591" max="14591" width="9.5546875" style="78" customWidth="1"/>
    <col min="14592" max="14592" width="13.109375" style="78" customWidth="1"/>
    <col min="14593" max="14593" width="9.88671875" style="78" customWidth="1"/>
    <col min="14594" max="14594" width="9.109375" style="78" customWidth="1"/>
    <col min="14595" max="14596" width="13.88671875" style="78" customWidth="1"/>
    <col min="14597" max="14597" width="10.5546875" style="78" customWidth="1"/>
    <col min="14598" max="14598" width="15.109375" style="78" customWidth="1"/>
    <col min="14599" max="14599" width="20.44140625" style="78" customWidth="1"/>
    <col min="14600" max="14841" width="11.44140625" style="78"/>
    <col min="14842" max="14842" width="30.33203125" style="78" customWidth="1"/>
    <col min="14843" max="14843" width="10.44140625" style="78" customWidth="1"/>
    <col min="14844" max="14845" width="11.44140625" style="78"/>
    <col min="14846" max="14846" width="10.33203125" style="78" customWidth="1"/>
    <col min="14847" max="14847" width="9.5546875" style="78" customWidth="1"/>
    <col min="14848" max="14848" width="13.109375" style="78" customWidth="1"/>
    <col min="14849" max="14849" width="9.88671875" style="78" customWidth="1"/>
    <col min="14850" max="14850" width="9.109375" style="78" customWidth="1"/>
    <col min="14851" max="14852" width="13.88671875" style="78" customWidth="1"/>
    <col min="14853" max="14853" width="10.5546875" style="78" customWidth="1"/>
    <col min="14854" max="14854" width="15.109375" style="78" customWidth="1"/>
    <col min="14855" max="14855" width="20.44140625" style="78" customWidth="1"/>
    <col min="14856" max="15097" width="11.44140625" style="78"/>
    <col min="15098" max="15098" width="30.33203125" style="78" customWidth="1"/>
    <col min="15099" max="15099" width="10.44140625" style="78" customWidth="1"/>
    <col min="15100" max="15101" width="11.44140625" style="78"/>
    <col min="15102" max="15102" width="10.33203125" style="78" customWidth="1"/>
    <col min="15103" max="15103" width="9.5546875" style="78" customWidth="1"/>
    <col min="15104" max="15104" width="13.109375" style="78" customWidth="1"/>
    <col min="15105" max="15105" width="9.88671875" style="78" customWidth="1"/>
    <col min="15106" max="15106" width="9.109375" style="78" customWidth="1"/>
    <col min="15107" max="15108" width="13.88671875" style="78" customWidth="1"/>
    <col min="15109" max="15109" width="10.5546875" style="78" customWidth="1"/>
    <col min="15110" max="15110" width="15.109375" style="78" customWidth="1"/>
    <col min="15111" max="15111" width="20.44140625" style="78" customWidth="1"/>
    <col min="15112" max="15353" width="11.44140625" style="78"/>
    <col min="15354" max="15354" width="30.33203125" style="78" customWidth="1"/>
    <col min="15355" max="15355" width="10.44140625" style="78" customWidth="1"/>
    <col min="15356" max="15357" width="11.44140625" style="78"/>
    <col min="15358" max="15358" width="10.33203125" style="78" customWidth="1"/>
    <col min="15359" max="15359" width="9.5546875" style="78" customWidth="1"/>
    <col min="15360" max="15360" width="13.109375" style="78" customWidth="1"/>
    <col min="15361" max="15361" width="9.88671875" style="78" customWidth="1"/>
    <col min="15362" max="15362" width="9.109375" style="78" customWidth="1"/>
    <col min="15363" max="15364" width="13.88671875" style="78" customWidth="1"/>
    <col min="15365" max="15365" width="10.5546875" style="78" customWidth="1"/>
    <col min="15366" max="15366" width="15.109375" style="78" customWidth="1"/>
    <col min="15367" max="15367" width="20.44140625" style="78" customWidth="1"/>
    <col min="15368" max="15609" width="11.44140625" style="78"/>
    <col min="15610" max="15610" width="30.33203125" style="78" customWidth="1"/>
    <col min="15611" max="15611" width="10.44140625" style="78" customWidth="1"/>
    <col min="15612" max="15613" width="11.44140625" style="78"/>
    <col min="15614" max="15614" width="10.33203125" style="78" customWidth="1"/>
    <col min="15615" max="15615" width="9.5546875" style="78" customWidth="1"/>
    <col min="15616" max="15616" width="13.109375" style="78" customWidth="1"/>
    <col min="15617" max="15617" width="9.88671875" style="78" customWidth="1"/>
    <col min="15618" max="15618" width="9.109375" style="78" customWidth="1"/>
    <col min="15619" max="15620" width="13.88671875" style="78" customWidth="1"/>
    <col min="15621" max="15621" width="10.5546875" style="78" customWidth="1"/>
    <col min="15622" max="15622" width="15.109375" style="78" customWidth="1"/>
    <col min="15623" max="15623" width="20.44140625" style="78" customWidth="1"/>
    <col min="15624" max="15865" width="11.44140625" style="78"/>
    <col min="15866" max="15866" width="30.33203125" style="78" customWidth="1"/>
    <col min="15867" max="15867" width="10.44140625" style="78" customWidth="1"/>
    <col min="15868" max="15869" width="11.44140625" style="78"/>
    <col min="15870" max="15870" width="10.33203125" style="78" customWidth="1"/>
    <col min="15871" max="15871" width="9.5546875" style="78" customWidth="1"/>
    <col min="15872" max="15872" width="13.109375" style="78" customWidth="1"/>
    <col min="15873" max="15873" width="9.88671875" style="78" customWidth="1"/>
    <col min="15874" max="15874" width="9.109375" style="78" customWidth="1"/>
    <col min="15875" max="15876" width="13.88671875" style="78" customWidth="1"/>
    <col min="15877" max="15877" width="10.5546875" style="78" customWidth="1"/>
    <col min="15878" max="15878" width="15.109375" style="78" customWidth="1"/>
    <col min="15879" max="15879" width="20.44140625" style="78" customWidth="1"/>
    <col min="15880" max="16121" width="11.44140625" style="78"/>
    <col min="16122" max="16122" width="30.33203125" style="78" customWidth="1"/>
    <col min="16123" max="16123" width="10.44140625" style="78" customWidth="1"/>
    <col min="16124" max="16125" width="11.44140625" style="78"/>
    <col min="16126" max="16126" width="10.33203125" style="78" customWidth="1"/>
    <col min="16127" max="16127" width="9.5546875" style="78" customWidth="1"/>
    <col min="16128" max="16128" width="13.109375" style="78" customWidth="1"/>
    <col min="16129" max="16129" width="9.88671875" style="78" customWidth="1"/>
    <col min="16130" max="16130" width="9.109375" style="78" customWidth="1"/>
    <col min="16131" max="16132" width="13.88671875" style="78" customWidth="1"/>
    <col min="16133" max="16133" width="10.5546875" style="78" customWidth="1"/>
    <col min="16134" max="16134" width="15.109375" style="78" customWidth="1"/>
    <col min="16135" max="16135" width="20.44140625" style="78" customWidth="1"/>
    <col min="16136" max="16384" width="11.44140625" style="78"/>
  </cols>
  <sheetData>
    <row r="1" spans="1:14" ht="15" thickBot="1" x14ac:dyDescent="0.35"/>
    <row r="2" spans="1:14" ht="26.4" customHeight="1" thickBot="1" x14ac:dyDescent="0.35">
      <c r="B2" s="161" t="s">
        <v>48</v>
      </c>
      <c r="C2" s="162"/>
      <c r="D2" s="162"/>
      <c r="E2" s="162"/>
      <c r="F2" s="162"/>
      <c r="G2" s="162"/>
      <c r="H2" s="162"/>
      <c r="I2" s="162"/>
      <c r="J2" s="162"/>
      <c r="K2" s="162"/>
    </row>
    <row r="3" spans="1:14" x14ac:dyDescent="0.3">
      <c r="A3" s="81"/>
      <c r="B3" s="82"/>
    </row>
    <row r="4" spans="1:14" ht="15" thickBot="1" x14ac:dyDescent="0.35">
      <c r="A4" s="81"/>
      <c r="G4" s="78"/>
      <c r="H4" s="78"/>
      <c r="I4" s="78"/>
      <c r="J4" s="78"/>
      <c r="K4" s="78"/>
    </row>
    <row r="5" spans="1:14" ht="58.2" thickBot="1" x14ac:dyDescent="0.35">
      <c r="A5" s="94" t="s">
        <v>12</v>
      </c>
      <c r="B5" s="94" t="s">
        <v>9</v>
      </c>
      <c r="C5" s="95" t="s">
        <v>31</v>
      </c>
      <c r="D5" s="94" t="s">
        <v>0</v>
      </c>
      <c r="E5" s="94" t="s">
        <v>1</v>
      </c>
      <c r="F5" s="96" t="s">
        <v>32</v>
      </c>
      <c r="G5" s="97" t="s">
        <v>5</v>
      </c>
      <c r="H5" s="97" t="s">
        <v>34</v>
      </c>
      <c r="I5" s="98" t="s">
        <v>33</v>
      </c>
      <c r="J5" s="97" t="s">
        <v>5</v>
      </c>
      <c r="K5" s="98" t="s">
        <v>35</v>
      </c>
      <c r="M5" s="153" t="s">
        <v>52</v>
      </c>
      <c r="N5" s="154"/>
    </row>
    <row r="6" spans="1:14" s="87" customFormat="1" x14ac:dyDescent="0.3">
      <c r="A6" s="83"/>
      <c r="B6" s="83"/>
      <c r="C6" s="143">
        <f>SUM(H6+K6)</f>
        <v>0</v>
      </c>
      <c r="D6" s="83"/>
      <c r="E6" s="83"/>
      <c r="F6" s="127"/>
      <c r="G6" s="85">
        <v>7000</v>
      </c>
      <c r="H6" s="84">
        <f>F6*G6</f>
        <v>0</v>
      </c>
      <c r="I6" s="127"/>
      <c r="J6" s="84">
        <v>9000</v>
      </c>
      <c r="K6" s="86">
        <f>SUM(I6*J6)</f>
        <v>0</v>
      </c>
    </row>
    <row r="7" spans="1:14" s="87" customFormat="1" x14ac:dyDescent="0.3">
      <c r="A7" s="83"/>
      <c r="B7" s="83"/>
      <c r="C7" s="143">
        <f t="shared" ref="C7:C69" si="0">SUM(H7+K7)</f>
        <v>0</v>
      </c>
      <c r="D7" s="83"/>
      <c r="E7" s="83"/>
      <c r="F7" s="83"/>
      <c r="G7" s="85">
        <v>7000</v>
      </c>
      <c r="H7" s="84">
        <f>F7*G7</f>
        <v>0</v>
      </c>
      <c r="I7" s="83"/>
      <c r="J7" s="84">
        <v>9000</v>
      </c>
      <c r="K7" s="86">
        <f t="shared" ref="K7:K69" si="1">SUM(I7*J7)</f>
        <v>0</v>
      </c>
    </row>
    <row r="8" spans="1:14" s="87" customFormat="1" x14ac:dyDescent="0.3">
      <c r="A8" s="83"/>
      <c r="B8" s="83"/>
      <c r="C8" s="143">
        <f t="shared" si="0"/>
        <v>0</v>
      </c>
      <c r="D8" s="83"/>
      <c r="E8" s="83"/>
      <c r="F8" s="83"/>
      <c r="G8" s="85">
        <v>7000</v>
      </c>
      <c r="H8" s="84">
        <f>F8*G8</f>
        <v>0</v>
      </c>
      <c r="I8" s="83"/>
      <c r="J8" s="84">
        <v>9000</v>
      </c>
      <c r="K8" s="86">
        <f t="shared" si="1"/>
        <v>0</v>
      </c>
    </row>
    <row r="9" spans="1:14" s="87" customFormat="1" x14ac:dyDescent="0.3">
      <c r="A9" s="83"/>
      <c r="B9" s="83"/>
      <c r="C9" s="143">
        <f t="shared" si="0"/>
        <v>0</v>
      </c>
      <c r="D9" s="83"/>
      <c r="E9" s="83"/>
      <c r="F9" s="83"/>
      <c r="G9" s="85">
        <v>7000</v>
      </c>
      <c r="H9" s="84">
        <f>F9*G9</f>
        <v>0</v>
      </c>
      <c r="I9" s="83"/>
      <c r="J9" s="84">
        <v>9000</v>
      </c>
      <c r="K9" s="86">
        <f t="shared" si="1"/>
        <v>0</v>
      </c>
    </row>
    <row r="10" spans="1:14" s="87" customFormat="1" x14ac:dyDescent="0.3">
      <c r="A10" s="83"/>
      <c r="B10" s="83"/>
      <c r="C10" s="143">
        <f t="shared" si="0"/>
        <v>0</v>
      </c>
      <c r="D10" s="83"/>
      <c r="E10" s="83"/>
      <c r="F10" s="83"/>
      <c r="G10" s="85">
        <v>7000</v>
      </c>
      <c r="H10" s="84">
        <f>F10*G10</f>
        <v>0</v>
      </c>
      <c r="I10" s="83"/>
      <c r="J10" s="84">
        <v>9000</v>
      </c>
      <c r="K10" s="86">
        <f t="shared" si="1"/>
        <v>0</v>
      </c>
    </row>
    <row r="11" spans="1:14" s="87" customFormat="1" x14ac:dyDescent="0.3">
      <c r="A11" s="83"/>
      <c r="B11" s="83"/>
      <c r="C11" s="143">
        <f t="shared" si="0"/>
        <v>0</v>
      </c>
      <c r="D11" s="83"/>
      <c r="E11" s="83"/>
      <c r="F11" s="83"/>
      <c r="G11" s="85">
        <v>7000</v>
      </c>
      <c r="H11" s="85">
        <f t="shared" ref="H11:H69" si="2">SUM(F11*G11)</f>
        <v>0</v>
      </c>
      <c r="I11" s="83"/>
      <c r="J11" s="84">
        <v>9000</v>
      </c>
      <c r="K11" s="86">
        <f t="shared" si="1"/>
        <v>0</v>
      </c>
    </row>
    <row r="12" spans="1:14" s="87" customFormat="1" x14ac:dyDescent="0.3">
      <c r="A12" s="83"/>
      <c r="B12" s="83"/>
      <c r="C12" s="143">
        <f t="shared" si="0"/>
        <v>0</v>
      </c>
      <c r="D12" s="83"/>
      <c r="E12" s="83"/>
      <c r="F12" s="83"/>
      <c r="G12" s="85">
        <v>7000</v>
      </c>
      <c r="H12" s="85">
        <f t="shared" si="2"/>
        <v>0</v>
      </c>
      <c r="I12" s="83"/>
      <c r="J12" s="84">
        <v>9000</v>
      </c>
      <c r="K12" s="86">
        <f t="shared" si="1"/>
        <v>0</v>
      </c>
    </row>
    <row r="13" spans="1:14" s="87" customFormat="1" x14ac:dyDescent="0.3">
      <c r="A13" s="83"/>
      <c r="B13" s="83"/>
      <c r="C13" s="143">
        <f t="shared" si="0"/>
        <v>0</v>
      </c>
      <c r="D13" s="83"/>
      <c r="E13" s="83"/>
      <c r="F13" s="83"/>
      <c r="G13" s="85">
        <v>7000</v>
      </c>
      <c r="H13" s="85">
        <f t="shared" si="2"/>
        <v>0</v>
      </c>
      <c r="I13" s="83"/>
      <c r="J13" s="84">
        <v>9000</v>
      </c>
      <c r="K13" s="86">
        <f t="shared" si="1"/>
        <v>0</v>
      </c>
    </row>
    <row r="14" spans="1:14" s="87" customFormat="1" x14ac:dyDescent="0.3">
      <c r="A14" s="83"/>
      <c r="B14" s="83"/>
      <c r="C14" s="143">
        <f t="shared" si="0"/>
        <v>0</v>
      </c>
      <c r="D14" s="83"/>
      <c r="E14" s="83"/>
      <c r="F14" s="83"/>
      <c r="G14" s="85">
        <v>7000</v>
      </c>
      <c r="H14" s="85">
        <f t="shared" si="2"/>
        <v>0</v>
      </c>
      <c r="I14" s="83"/>
      <c r="J14" s="84">
        <v>9000</v>
      </c>
      <c r="K14" s="86">
        <f t="shared" si="1"/>
        <v>0</v>
      </c>
    </row>
    <row r="15" spans="1:14" s="87" customFormat="1" x14ac:dyDescent="0.3">
      <c r="A15" s="83"/>
      <c r="B15" s="83"/>
      <c r="C15" s="143">
        <f t="shared" si="0"/>
        <v>0</v>
      </c>
      <c r="D15" s="83"/>
      <c r="E15" s="83"/>
      <c r="F15" s="83"/>
      <c r="G15" s="85">
        <v>7000</v>
      </c>
      <c r="H15" s="85">
        <f t="shared" si="2"/>
        <v>0</v>
      </c>
      <c r="I15" s="83"/>
      <c r="J15" s="84">
        <v>9000</v>
      </c>
      <c r="K15" s="86">
        <f t="shared" si="1"/>
        <v>0</v>
      </c>
    </row>
    <row r="16" spans="1:14" s="87" customFormat="1" x14ac:dyDescent="0.3">
      <c r="A16" s="83"/>
      <c r="B16" s="83"/>
      <c r="C16" s="143">
        <f t="shared" si="0"/>
        <v>0</v>
      </c>
      <c r="D16" s="83"/>
      <c r="E16" s="83"/>
      <c r="F16" s="83"/>
      <c r="G16" s="85">
        <v>7000</v>
      </c>
      <c r="H16" s="85">
        <f t="shared" si="2"/>
        <v>0</v>
      </c>
      <c r="I16" s="83"/>
      <c r="J16" s="84">
        <v>9000</v>
      </c>
      <c r="K16" s="86">
        <f t="shared" si="1"/>
        <v>0</v>
      </c>
    </row>
    <row r="17" spans="1:11" s="87" customFormat="1" x14ac:dyDescent="0.3">
      <c r="A17" s="83"/>
      <c r="B17" s="83"/>
      <c r="C17" s="143">
        <f t="shared" si="0"/>
        <v>0</v>
      </c>
      <c r="D17" s="83"/>
      <c r="E17" s="83"/>
      <c r="F17" s="83"/>
      <c r="G17" s="85">
        <v>7000</v>
      </c>
      <c r="H17" s="85">
        <f t="shared" si="2"/>
        <v>0</v>
      </c>
      <c r="I17" s="83"/>
      <c r="J17" s="84">
        <v>9000</v>
      </c>
      <c r="K17" s="86">
        <f t="shared" si="1"/>
        <v>0</v>
      </c>
    </row>
    <row r="18" spans="1:11" s="87" customFormat="1" x14ac:dyDescent="0.3">
      <c r="A18" s="83"/>
      <c r="B18" s="83"/>
      <c r="C18" s="143">
        <f t="shared" si="0"/>
        <v>0</v>
      </c>
      <c r="D18" s="83"/>
      <c r="E18" s="83"/>
      <c r="F18" s="83"/>
      <c r="G18" s="85">
        <v>7000</v>
      </c>
      <c r="H18" s="85">
        <f t="shared" si="2"/>
        <v>0</v>
      </c>
      <c r="I18" s="83"/>
      <c r="J18" s="84">
        <v>9000</v>
      </c>
      <c r="K18" s="86">
        <f t="shared" si="1"/>
        <v>0</v>
      </c>
    </row>
    <row r="19" spans="1:11" s="87" customFormat="1" x14ac:dyDescent="0.3">
      <c r="A19" s="83"/>
      <c r="B19" s="83"/>
      <c r="C19" s="143">
        <f t="shared" si="0"/>
        <v>0</v>
      </c>
      <c r="D19" s="83"/>
      <c r="E19" s="83"/>
      <c r="F19" s="83"/>
      <c r="G19" s="85">
        <v>7000</v>
      </c>
      <c r="H19" s="85">
        <f t="shared" si="2"/>
        <v>0</v>
      </c>
      <c r="I19" s="83"/>
      <c r="J19" s="84">
        <v>9000</v>
      </c>
      <c r="K19" s="86">
        <f t="shared" si="1"/>
        <v>0</v>
      </c>
    </row>
    <row r="20" spans="1:11" s="87" customFormat="1" x14ac:dyDescent="0.3">
      <c r="A20" s="83"/>
      <c r="B20" s="83"/>
      <c r="C20" s="143">
        <f t="shared" si="0"/>
        <v>0</v>
      </c>
      <c r="D20" s="83"/>
      <c r="E20" s="83"/>
      <c r="F20" s="83"/>
      <c r="G20" s="85">
        <v>7000</v>
      </c>
      <c r="H20" s="85">
        <f t="shared" si="2"/>
        <v>0</v>
      </c>
      <c r="I20" s="83"/>
      <c r="J20" s="84">
        <v>9000</v>
      </c>
      <c r="K20" s="86">
        <f t="shared" si="1"/>
        <v>0</v>
      </c>
    </row>
    <row r="21" spans="1:11" s="87" customFormat="1" x14ac:dyDescent="0.3">
      <c r="A21" s="83"/>
      <c r="B21" s="83"/>
      <c r="C21" s="143">
        <f t="shared" si="0"/>
        <v>0</v>
      </c>
      <c r="D21" s="83"/>
      <c r="E21" s="83"/>
      <c r="F21" s="83"/>
      <c r="G21" s="85">
        <v>7000</v>
      </c>
      <c r="H21" s="85">
        <f t="shared" si="2"/>
        <v>0</v>
      </c>
      <c r="I21" s="83"/>
      <c r="J21" s="84">
        <v>9000</v>
      </c>
      <c r="K21" s="86">
        <f t="shared" si="1"/>
        <v>0</v>
      </c>
    </row>
    <row r="22" spans="1:11" s="87" customFormat="1" x14ac:dyDescent="0.3">
      <c r="A22" s="83"/>
      <c r="B22" s="83"/>
      <c r="C22" s="143">
        <f t="shared" si="0"/>
        <v>0</v>
      </c>
      <c r="D22" s="83"/>
      <c r="E22" s="83"/>
      <c r="F22" s="83"/>
      <c r="G22" s="85">
        <v>7000</v>
      </c>
      <c r="H22" s="85">
        <f t="shared" si="2"/>
        <v>0</v>
      </c>
      <c r="I22" s="83"/>
      <c r="J22" s="84">
        <v>9000</v>
      </c>
      <c r="K22" s="86">
        <f t="shared" si="1"/>
        <v>0</v>
      </c>
    </row>
    <row r="23" spans="1:11" s="87" customFormat="1" x14ac:dyDescent="0.3">
      <c r="A23" s="83"/>
      <c r="B23" s="83"/>
      <c r="C23" s="143">
        <f t="shared" si="0"/>
        <v>0</v>
      </c>
      <c r="D23" s="83"/>
      <c r="E23" s="83"/>
      <c r="F23" s="83"/>
      <c r="G23" s="85">
        <v>7000</v>
      </c>
      <c r="H23" s="85">
        <f t="shared" si="2"/>
        <v>0</v>
      </c>
      <c r="I23" s="83"/>
      <c r="J23" s="84">
        <v>9000</v>
      </c>
      <c r="K23" s="86">
        <f t="shared" si="1"/>
        <v>0</v>
      </c>
    </row>
    <row r="24" spans="1:11" s="87" customFormat="1" x14ac:dyDescent="0.3">
      <c r="A24" s="83"/>
      <c r="B24" s="83"/>
      <c r="C24" s="143">
        <f t="shared" si="0"/>
        <v>0</v>
      </c>
      <c r="D24" s="83"/>
      <c r="E24" s="83"/>
      <c r="F24" s="83"/>
      <c r="G24" s="85">
        <v>7000</v>
      </c>
      <c r="H24" s="85">
        <f t="shared" si="2"/>
        <v>0</v>
      </c>
      <c r="I24" s="83"/>
      <c r="J24" s="84">
        <v>9000</v>
      </c>
      <c r="K24" s="86">
        <f t="shared" si="1"/>
        <v>0</v>
      </c>
    </row>
    <row r="25" spans="1:11" s="87" customFormat="1" x14ac:dyDescent="0.3">
      <c r="A25" s="83"/>
      <c r="B25" s="83"/>
      <c r="C25" s="143">
        <f t="shared" si="0"/>
        <v>0</v>
      </c>
      <c r="D25" s="83"/>
      <c r="E25" s="83"/>
      <c r="F25" s="83"/>
      <c r="G25" s="85">
        <v>7000</v>
      </c>
      <c r="H25" s="85">
        <f t="shared" si="2"/>
        <v>0</v>
      </c>
      <c r="I25" s="83"/>
      <c r="J25" s="84">
        <v>9000</v>
      </c>
      <c r="K25" s="86">
        <f t="shared" si="1"/>
        <v>0</v>
      </c>
    </row>
    <row r="26" spans="1:11" s="87" customFormat="1" x14ac:dyDescent="0.3">
      <c r="A26" s="83"/>
      <c r="B26" s="83"/>
      <c r="C26" s="143">
        <f t="shared" si="0"/>
        <v>0</v>
      </c>
      <c r="D26" s="83"/>
      <c r="E26" s="83"/>
      <c r="F26" s="83"/>
      <c r="G26" s="85">
        <v>7000</v>
      </c>
      <c r="H26" s="85">
        <f t="shared" si="2"/>
        <v>0</v>
      </c>
      <c r="I26" s="83"/>
      <c r="J26" s="84">
        <v>9000</v>
      </c>
      <c r="K26" s="86">
        <f t="shared" si="1"/>
        <v>0</v>
      </c>
    </row>
    <row r="27" spans="1:11" s="87" customFormat="1" x14ac:dyDescent="0.3">
      <c r="A27" s="83"/>
      <c r="B27" s="83"/>
      <c r="C27" s="143">
        <f t="shared" si="0"/>
        <v>0</v>
      </c>
      <c r="D27" s="83"/>
      <c r="E27" s="83"/>
      <c r="F27" s="83"/>
      <c r="G27" s="85">
        <v>7000</v>
      </c>
      <c r="H27" s="85">
        <f t="shared" si="2"/>
        <v>0</v>
      </c>
      <c r="I27" s="83"/>
      <c r="J27" s="84">
        <v>9000</v>
      </c>
      <c r="K27" s="86">
        <f t="shared" si="1"/>
        <v>0</v>
      </c>
    </row>
    <row r="28" spans="1:11" s="87" customFormat="1" x14ac:dyDescent="0.3">
      <c r="A28" s="83"/>
      <c r="B28" s="83"/>
      <c r="C28" s="143">
        <f t="shared" si="0"/>
        <v>0</v>
      </c>
      <c r="D28" s="83"/>
      <c r="E28" s="83"/>
      <c r="F28" s="83"/>
      <c r="G28" s="85">
        <v>7000</v>
      </c>
      <c r="H28" s="85">
        <f t="shared" si="2"/>
        <v>0</v>
      </c>
      <c r="I28" s="83"/>
      <c r="J28" s="84">
        <v>9000</v>
      </c>
      <c r="K28" s="86">
        <f t="shared" si="1"/>
        <v>0</v>
      </c>
    </row>
    <row r="29" spans="1:11" s="87" customFormat="1" x14ac:dyDescent="0.3">
      <c r="A29" s="83"/>
      <c r="B29" s="83"/>
      <c r="C29" s="143">
        <f t="shared" si="0"/>
        <v>0</v>
      </c>
      <c r="D29" s="83"/>
      <c r="E29" s="83"/>
      <c r="F29" s="83"/>
      <c r="G29" s="85">
        <v>7000</v>
      </c>
      <c r="H29" s="85">
        <f t="shared" si="2"/>
        <v>0</v>
      </c>
      <c r="I29" s="83"/>
      <c r="J29" s="84">
        <v>9000</v>
      </c>
      <c r="K29" s="86">
        <f t="shared" si="1"/>
        <v>0</v>
      </c>
    </row>
    <row r="30" spans="1:11" s="87" customFormat="1" x14ac:dyDescent="0.3">
      <c r="A30" s="83"/>
      <c r="B30" s="83"/>
      <c r="C30" s="143">
        <f t="shared" si="0"/>
        <v>0</v>
      </c>
      <c r="D30" s="83"/>
      <c r="E30" s="83"/>
      <c r="F30" s="83"/>
      <c r="G30" s="85">
        <v>7000</v>
      </c>
      <c r="H30" s="85">
        <f t="shared" si="2"/>
        <v>0</v>
      </c>
      <c r="I30" s="83"/>
      <c r="J30" s="84">
        <v>9000</v>
      </c>
      <c r="K30" s="86">
        <f t="shared" si="1"/>
        <v>0</v>
      </c>
    </row>
    <row r="31" spans="1:11" s="87" customFormat="1" x14ac:dyDescent="0.3">
      <c r="A31" s="83"/>
      <c r="B31" s="83"/>
      <c r="C31" s="143">
        <f t="shared" si="0"/>
        <v>0</v>
      </c>
      <c r="D31" s="83"/>
      <c r="E31" s="83"/>
      <c r="F31" s="83"/>
      <c r="G31" s="85">
        <v>7000</v>
      </c>
      <c r="H31" s="85">
        <f t="shared" si="2"/>
        <v>0</v>
      </c>
      <c r="I31" s="83"/>
      <c r="J31" s="84">
        <v>9000</v>
      </c>
      <c r="K31" s="86">
        <f t="shared" si="1"/>
        <v>0</v>
      </c>
    </row>
    <row r="32" spans="1:11" s="87" customFormat="1" x14ac:dyDescent="0.3">
      <c r="A32" s="83"/>
      <c r="B32" s="83"/>
      <c r="C32" s="143">
        <f t="shared" si="0"/>
        <v>0</v>
      </c>
      <c r="D32" s="83"/>
      <c r="E32" s="83"/>
      <c r="F32" s="83"/>
      <c r="G32" s="85">
        <v>7000</v>
      </c>
      <c r="H32" s="85">
        <f t="shared" si="2"/>
        <v>0</v>
      </c>
      <c r="I32" s="83"/>
      <c r="J32" s="84">
        <v>9000</v>
      </c>
      <c r="K32" s="86">
        <f t="shared" si="1"/>
        <v>0</v>
      </c>
    </row>
    <row r="33" spans="1:11" s="87" customFormat="1" x14ac:dyDescent="0.3">
      <c r="A33" s="83"/>
      <c r="B33" s="83"/>
      <c r="C33" s="143">
        <f t="shared" si="0"/>
        <v>0</v>
      </c>
      <c r="D33" s="83"/>
      <c r="E33" s="83"/>
      <c r="F33" s="83"/>
      <c r="G33" s="85">
        <v>7000</v>
      </c>
      <c r="H33" s="85">
        <f t="shared" si="2"/>
        <v>0</v>
      </c>
      <c r="I33" s="83"/>
      <c r="J33" s="84">
        <v>9000</v>
      </c>
      <c r="K33" s="86">
        <f t="shared" si="1"/>
        <v>0</v>
      </c>
    </row>
    <row r="34" spans="1:11" s="87" customFormat="1" x14ac:dyDescent="0.3">
      <c r="A34" s="83"/>
      <c r="B34" s="83"/>
      <c r="C34" s="143">
        <f t="shared" si="0"/>
        <v>0</v>
      </c>
      <c r="D34" s="83"/>
      <c r="E34" s="83"/>
      <c r="F34" s="83"/>
      <c r="G34" s="85">
        <v>7000</v>
      </c>
      <c r="H34" s="85">
        <f t="shared" si="2"/>
        <v>0</v>
      </c>
      <c r="I34" s="83"/>
      <c r="J34" s="84">
        <v>9000</v>
      </c>
      <c r="K34" s="86">
        <f t="shared" si="1"/>
        <v>0</v>
      </c>
    </row>
    <row r="35" spans="1:11" s="87" customFormat="1" x14ac:dyDescent="0.3">
      <c r="A35" s="83"/>
      <c r="B35" s="83"/>
      <c r="C35" s="143">
        <f t="shared" si="0"/>
        <v>0</v>
      </c>
      <c r="D35" s="83"/>
      <c r="E35" s="83"/>
      <c r="F35" s="83"/>
      <c r="G35" s="85">
        <v>7000</v>
      </c>
      <c r="H35" s="85">
        <f t="shared" si="2"/>
        <v>0</v>
      </c>
      <c r="I35" s="83"/>
      <c r="J35" s="84">
        <v>9000</v>
      </c>
      <c r="K35" s="86">
        <f t="shared" si="1"/>
        <v>0</v>
      </c>
    </row>
    <row r="36" spans="1:11" s="87" customFormat="1" x14ac:dyDescent="0.3">
      <c r="A36" s="83"/>
      <c r="B36" s="83"/>
      <c r="C36" s="143">
        <f t="shared" si="0"/>
        <v>0</v>
      </c>
      <c r="D36" s="83"/>
      <c r="E36" s="83"/>
      <c r="F36" s="83"/>
      <c r="G36" s="85">
        <v>7000</v>
      </c>
      <c r="H36" s="85">
        <f t="shared" si="2"/>
        <v>0</v>
      </c>
      <c r="I36" s="83"/>
      <c r="J36" s="84">
        <v>9000</v>
      </c>
      <c r="K36" s="86">
        <f t="shared" si="1"/>
        <v>0</v>
      </c>
    </row>
    <row r="37" spans="1:11" s="87" customFormat="1" x14ac:dyDescent="0.3">
      <c r="A37" s="83"/>
      <c r="B37" s="83"/>
      <c r="C37" s="143">
        <f t="shared" si="0"/>
        <v>0</v>
      </c>
      <c r="D37" s="83"/>
      <c r="E37" s="83"/>
      <c r="F37" s="83"/>
      <c r="G37" s="85">
        <v>7000</v>
      </c>
      <c r="H37" s="85">
        <f t="shared" si="2"/>
        <v>0</v>
      </c>
      <c r="I37" s="83"/>
      <c r="J37" s="84">
        <v>9000</v>
      </c>
      <c r="K37" s="86">
        <f t="shared" si="1"/>
        <v>0</v>
      </c>
    </row>
    <row r="38" spans="1:11" s="87" customFormat="1" x14ac:dyDescent="0.3">
      <c r="A38" s="83"/>
      <c r="B38" s="83"/>
      <c r="C38" s="143">
        <f t="shared" si="0"/>
        <v>0</v>
      </c>
      <c r="D38" s="83"/>
      <c r="E38" s="83"/>
      <c r="F38" s="83"/>
      <c r="G38" s="85">
        <v>7000</v>
      </c>
      <c r="H38" s="85">
        <f t="shared" si="2"/>
        <v>0</v>
      </c>
      <c r="I38" s="83"/>
      <c r="J38" s="84">
        <v>9000</v>
      </c>
      <c r="K38" s="86">
        <f t="shared" si="1"/>
        <v>0</v>
      </c>
    </row>
    <row r="39" spans="1:11" s="87" customFormat="1" x14ac:dyDescent="0.3">
      <c r="A39" s="83"/>
      <c r="B39" s="83"/>
      <c r="C39" s="143">
        <f t="shared" si="0"/>
        <v>0</v>
      </c>
      <c r="D39" s="83"/>
      <c r="E39" s="83"/>
      <c r="F39" s="83"/>
      <c r="G39" s="85">
        <v>7000</v>
      </c>
      <c r="H39" s="85">
        <f t="shared" si="2"/>
        <v>0</v>
      </c>
      <c r="I39" s="83"/>
      <c r="J39" s="84">
        <v>9000</v>
      </c>
      <c r="K39" s="86">
        <f t="shared" si="1"/>
        <v>0</v>
      </c>
    </row>
    <row r="40" spans="1:11" s="87" customFormat="1" x14ac:dyDescent="0.3">
      <c r="A40" s="92"/>
      <c r="B40" s="92"/>
      <c r="C40" s="143">
        <f t="shared" si="0"/>
        <v>0</v>
      </c>
      <c r="D40" s="83"/>
      <c r="E40" s="83"/>
      <c r="F40" s="83"/>
      <c r="G40" s="85">
        <v>7000</v>
      </c>
      <c r="H40" s="85">
        <f t="shared" si="2"/>
        <v>0</v>
      </c>
      <c r="I40" s="83"/>
      <c r="J40" s="84">
        <v>9000</v>
      </c>
      <c r="K40" s="86">
        <f t="shared" si="1"/>
        <v>0</v>
      </c>
    </row>
    <row r="41" spans="1:11" s="87" customFormat="1" x14ac:dyDescent="0.3">
      <c r="A41" s="92"/>
      <c r="B41" s="92"/>
      <c r="C41" s="143">
        <f t="shared" si="0"/>
        <v>0</v>
      </c>
      <c r="D41" s="83"/>
      <c r="E41" s="83"/>
      <c r="F41" s="83"/>
      <c r="G41" s="85">
        <v>7000</v>
      </c>
      <c r="H41" s="85">
        <f t="shared" si="2"/>
        <v>0</v>
      </c>
      <c r="I41" s="83"/>
      <c r="J41" s="84">
        <v>9000</v>
      </c>
      <c r="K41" s="86">
        <f t="shared" si="1"/>
        <v>0</v>
      </c>
    </row>
    <row r="42" spans="1:11" s="87" customFormat="1" x14ac:dyDescent="0.3">
      <c r="A42" s="92"/>
      <c r="B42" s="92"/>
      <c r="C42" s="143">
        <f t="shared" si="0"/>
        <v>0</v>
      </c>
      <c r="D42" s="83"/>
      <c r="E42" s="83"/>
      <c r="F42" s="83"/>
      <c r="G42" s="85">
        <v>7000</v>
      </c>
      <c r="H42" s="85">
        <f t="shared" si="2"/>
        <v>0</v>
      </c>
      <c r="I42" s="83"/>
      <c r="J42" s="84">
        <v>9000</v>
      </c>
      <c r="K42" s="86">
        <f t="shared" si="1"/>
        <v>0</v>
      </c>
    </row>
    <row r="43" spans="1:11" s="87" customFormat="1" x14ac:dyDescent="0.3">
      <c r="A43" s="92"/>
      <c r="B43" s="92"/>
      <c r="C43" s="143">
        <f t="shared" si="0"/>
        <v>0</v>
      </c>
      <c r="D43" s="83"/>
      <c r="E43" s="83"/>
      <c r="F43" s="83"/>
      <c r="G43" s="85">
        <v>7000</v>
      </c>
      <c r="H43" s="85">
        <f t="shared" si="2"/>
        <v>0</v>
      </c>
      <c r="I43" s="83"/>
      <c r="J43" s="84">
        <v>9000</v>
      </c>
      <c r="K43" s="86">
        <f t="shared" si="1"/>
        <v>0</v>
      </c>
    </row>
    <row r="44" spans="1:11" s="87" customFormat="1" x14ac:dyDescent="0.3">
      <c r="A44" s="92"/>
      <c r="B44" s="92"/>
      <c r="C44" s="143">
        <f t="shared" si="0"/>
        <v>0</v>
      </c>
      <c r="D44" s="83"/>
      <c r="E44" s="83"/>
      <c r="F44" s="83"/>
      <c r="G44" s="85">
        <v>7000</v>
      </c>
      <c r="H44" s="85">
        <f t="shared" si="2"/>
        <v>0</v>
      </c>
      <c r="I44" s="83"/>
      <c r="J44" s="84">
        <v>9000</v>
      </c>
      <c r="K44" s="86">
        <f t="shared" si="1"/>
        <v>0</v>
      </c>
    </row>
    <row r="45" spans="1:11" s="87" customFormat="1" x14ac:dyDescent="0.3">
      <c r="A45" s="92"/>
      <c r="B45" s="92"/>
      <c r="C45" s="143">
        <f t="shared" si="0"/>
        <v>0</v>
      </c>
      <c r="D45" s="83"/>
      <c r="E45" s="83"/>
      <c r="F45" s="83"/>
      <c r="G45" s="85">
        <v>7000</v>
      </c>
      <c r="H45" s="85">
        <f t="shared" si="2"/>
        <v>0</v>
      </c>
      <c r="I45" s="83"/>
      <c r="J45" s="84">
        <v>9000</v>
      </c>
      <c r="K45" s="86">
        <f t="shared" si="1"/>
        <v>0</v>
      </c>
    </row>
    <row r="46" spans="1:11" s="87" customFormat="1" x14ac:dyDescent="0.3">
      <c r="A46" s="92"/>
      <c r="B46" s="92"/>
      <c r="C46" s="143">
        <f t="shared" si="0"/>
        <v>0</v>
      </c>
      <c r="D46" s="83"/>
      <c r="E46" s="83"/>
      <c r="F46" s="83"/>
      <c r="G46" s="85">
        <v>7000</v>
      </c>
      <c r="H46" s="85">
        <f t="shared" si="2"/>
        <v>0</v>
      </c>
      <c r="I46" s="83"/>
      <c r="J46" s="84">
        <v>9000</v>
      </c>
      <c r="K46" s="86">
        <f t="shared" si="1"/>
        <v>0</v>
      </c>
    </row>
    <row r="47" spans="1:11" s="87" customFormat="1" x14ac:dyDescent="0.3">
      <c r="A47" s="92"/>
      <c r="B47" s="92"/>
      <c r="C47" s="143">
        <f t="shared" si="0"/>
        <v>0</v>
      </c>
      <c r="D47" s="83"/>
      <c r="E47" s="83"/>
      <c r="F47" s="83"/>
      <c r="G47" s="85">
        <v>7000</v>
      </c>
      <c r="H47" s="85">
        <f t="shared" si="2"/>
        <v>0</v>
      </c>
      <c r="I47" s="83"/>
      <c r="J47" s="84">
        <v>9000</v>
      </c>
      <c r="K47" s="86">
        <f t="shared" si="1"/>
        <v>0</v>
      </c>
    </row>
    <row r="48" spans="1:11" s="87" customFormat="1" x14ac:dyDescent="0.3">
      <c r="A48" s="92"/>
      <c r="B48" s="92"/>
      <c r="C48" s="143">
        <f t="shared" si="0"/>
        <v>0</v>
      </c>
      <c r="D48" s="83"/>
      <c r="E48" s="83"/>
      <c r="F48" s="83"/>
      <c r="G48" s="85">
        <v>7000</v>
      </c>
      <c r="H48" s="85">
        <f t="shared" si="2"/>
        <v>0</v>
      </c>
      <c r="I48" s="83"/>
      <c r="J48" s="84">
        <v>9000</v>
      </c>
      <c r="K48" s="86">
        <f t="shared" si="1"/>
        <v>0</v>
      </c>
    </row>
    <row r="49" spans="1:11" s="87" customFormat="1" x14ac:dyDescent="0.3">
      <c r="A49" s="92"/>
      <c r="B49" s="92"/>
      <c r="C49" s="143">
        <f t="shared" si="0"/>
        <v>0</v>
      </c>
      <c r="D49" s="83"/>
      <c r="E49" s="83"/>
      <c r="F49" s="83"/>
      <c r="G49" s="85">
        <v>7000</v>
      </c>
      <c r="H49" s="85">
        <f t="shared" si="2"/>
        <v>0</v>
      </c>
      <c r="I49" s="83"/>
      <c r="J49" s="84">
        <v>9000</v>
      </c>
      <c r="K49" s="86">
        <f t="shared" si="1"/>
        <v>0</v>
      </c>
    </row>
    <row r="50" spans="1:11" s="87" customFormat="1" x14ac:dyDescent="0.3">
      <c r="A50" s="92"/>
      <c r="B50" s="92"/>
      <c r="C50" s="143">
        <f t="shared" si="0"/>
        <v>0</v>
      </c>
      <c r="D50" s="83"/>
      <c r="E50" s="83"/>
      <c r="F50" s="83"/>
      <c r="G50" s="85">
        <v>7000</v>
      </c>
      <c r="H50" s="85">
        <f t="shared" si="2"/>
        <v>0</v>
      </c>
      <c r="I50" s="83"/>
      <c r="J50" s="84">
        <v>9000</v>
      </c>
      <c r="K50" s="86">
        <f t="shared" si="1"/>
        <v>0</v>
      </c>
    </row>
    <row r="51" spans="1:11" s="87" customFormat="1" x14ac:dyDescent="0.3">
      <c r="A51" s="92"/>
      <c r="B51" s="92"/>
      <c r="C51" s="143">
        <f t="shared" si="0"/>
        <v>0</v>
      </c>
      <c r="D51" s="83"/>
      <c r="E51" s="83"/>
      <c r="F51" s="83"/>
      <c r="G51" s="85">
        <v>7000</v>
      </c>
      <c r="H51" s="85">
        <f t="shared" si="2"/>
        <v>0</v>
      </c>
      <c r="I51" s="83"/>
      <c r="J51" s="84">
        <v>9000</v>
      </c>
      <c r="K51" s="86">
        <f t="shared" si="1"/>
        <v>0</v>
      </c>
    </row>
    <row r="52" spans="1:11" s="87" customFormat="1" x14ac:dyDescent="0.3">
      <c r="A52" s="92"/>
      <c r="B52" s="92"/>
      <c r="C52" s="143">
        <f t="shared" si="0"/>
        <v>0</v>
      </c>
      <c r="D52" s="83"/>
      <c r="E52" s="83"/>
      <c r="F52" s="83"/>
      <c r="G52" s="85">
        <v>7000</v>
      </c>
      <c r="H52" s="85">
        <f t="shared" si="2"/>
        <v>0</v>
      </c>
      <c r="I52" s="83"/>
      <c r="J52" s="84">
        <v>9000</v>
      </c>
      <c r="K52" s="86">
        <f t="shared" si="1"/>
        <v>0</v>
      </c>
    </row>
    <row r="53" spans="1:11" s="87" customFormat="1" x14ac:dyDescent="0.3">
      <c r="A53" s="92"/>
      <c r="B53" s="92"/>
      <c r="C53" s="143">
        <f t="shared" si="0"/>
        <v>0</v>
      </c>
      <c r="D53" s="83"/>
      <c r="E53" s="83"/>
      <c r="F53" s="83"/>
      <c r="G53" s="85">
        <v>7000</v>
      </c>
      <c r="H53" s="85">
        <f t="shared" si="2"/>
        <v>0</v>
      </c>
      <c r="I53" s="83"/>
      <c r="J53" s="84">
        <v>9000</v>
      </c>
      <c r="K53" s="86">
        <f t="shared" si="1"/>
        <v>0</v>
      </c>
    </row>
    <row r="54" spans="1:11" s="87" customFormat="1" x14ac:dyDescent="0.3">
      <c r="A54" s="92"/>
      <c r="B54" s="92"/>
      <c r="C54" s="143">
        <f t="shared" si="0"/>
        <v>0</v>
      </c>
      <c r="D54" s="83"/>
      <c r="E54" s="83"/>
      <c r="F54" s="83"/>
      <c r="G54" s="85">
        <v>7000</v>
      </c>
      <c r="H54" s="85">
        <f t="shared" si="2"/>
        <v>0</v>
      </c>
      <c r="I54" s="83"/>
      <c r="J54" s="84">
        <v>9000</v>
      </c>
      <c r="K54" s="86">
        <f t="shared" si="1"/>
        <v>0</v>
      </c>
    </row>
    <row r="55" spans="1:11" s="87" customFormat="1" x14ac:dyDescent="0.3">
      <c r="A55" s="92"/>
      <c r="B55" s="92"/>
      <c r="C55" s="143">
        <f t="shared" si="0"/>
        <v>0</v>
      </c>
      <c r="D55" s="83"/>
      <c r="E55" s="83"/>
      <c r="F55" s="83"/>
      <c r="G55" s="85">
        <v>7000</v>
      </c>
      <c r="H55" s="85">
        <f t="shared" si="2"/>
        <v>0</v>
      </c>
      <c r="I55" s="83"/>
      <c r="J55" s="84">
        <v>9000</v>
      </c>
      <c r="K55" s="86">
        <f t="shared" si="1"/>
        <v>0</v>
      </c>
    </row>
    <row r="56" spans="1:11" s="87" customFormat="1" x14ac:dyDescent="0.3">
      <c r="A56" s="92"/>
      <c r="B56" s="92"/>
      <c r="C56" s="143">
        <f t="shared" si="0"/>
        <v>0</v>
      </c>
      <c r="D56" s="83"/>
      <c r="E56" s="83"/>
      <c r="F56" s="83"/>
      <c r="G56" s="85">
        <v>7000</v>
      </c>
      <c r="H56" s="85">
        <f t="shared" si="2"/>
        <v>0</v>
      </c>
      <c r="I56" s="83"/>
      <c r="J56" s="84">
        <v>9000</v>
      </c>
      <c r="K56" s="86">
        <f t="shared" si="1"/>
        <v>0</v>
      </c>
    </row>
    <row r="57" spans="1:11" s="87" customFormat="1" x14ac:dyDescent="0.3">
      <c r="A57" s="92"/>
      <c r="B57" s="92"/>
      <c r="C57" s="143">
        <f t="shared" si="0"/>
        <v>0</v>
      </c>
      <c r="D57" s="83"/>
      <c r="E57" s="83"/>
      <c r="F57" s="83"/>
      <c r="G57" s="85">
        <v>7000</v>
      </c>
      <c r="H57" s="85">
        <f t="shared" si="2"/>
        <v>0</v>
      </c>
      <c r="I57" s="83"/>
      <c r="J57" s="84">
        <v>9000</v>
      </c>
      <c r="K57" s="86">
        <f t="shared" si="1"/>
        <v>0</v>
      </c>
    </row>
    <row r="58" spans="1:11" s="87" customFormat="1" x14ac:dyDescent="0.3">
      <c r="A58" s="92"/>
      <c r="B58" s="92"/>
      <c r="C58" s="143">
        <f t="shared" si="0"/>
        <v>0</v>
      </c>
      <c r="D58" s="83"/>
      <c r="E58" s="83"/>
      <c r="F58" s="83"/>
      <c r="G58" s="85">
        <v>7000</v>
      </c>
      <c r="H58" s="85">
        <f t="shared" si="2"/>
        <v>0</v>
      </c>
      <c r="I58" s="83"/>
      <c r="J58" s="84">
        <v>9000</v>
      </c>
      <c r="K58" s="86">
        <f t="shared" si="1"/>
        <v>0</v>
      </c>
    </row>
    <row r="59" spans="1:11" s="87" customFormat="1" x14ac:dyDescent="0.3">
      <c r="A59" s="92"/>
      <c r="B59" s="92"/>
      <c r="C59" s="143">
        <f t="shared" si="0"/>
        <v>0</v>
      </c>
      <c r="D59" s="83"/>
      <c r="E59" s="83"/>
      <c r="F59" s="83"/>
      <c r="G59" s="85">
        <v>7000</v>
      </c>
      <c r="H59" s="85">
        <f t="shared" si="2"/>
        <v>0</v>
      </c>
      <c r="I59" s="83"/>
      <c r="J59" s="84">
        <v>9000</v>
      </c>
      <c r="K59" s="86">
        <f t="shared" si="1"/>
        <v>0</v>
      </c>
    </row>
    <row r="60" spans="1:11" s="87" customFormat="1" x14ac:dyDescent="0.3">
      <c r="A60" s="83"/>
      <c r="B60" s="83"/>
      <c r="C60" s="143">
        <f t="shared" si="0"/>
        <v>0</v>
      </c>
      <c r="D60" s="83"/>
      <c r="E60" s="83"/>
      <c r="F60" s="83"/>
      <c r="G60" s="85">
        <v>7000</v>
      </c>
      <c r="H60" s="85">
        <f t="shared" si="2"/>
        <v>0</v>
      </c>
      <c r="I60" s="83"/>
      <c r="J60" s="84">
        <v>9000</v>
      </c>
      <c r="K60" s="86">
        <f t="shared" si="1"/>
        <v>0</v>
      </c>
    </row>
    <row r="61" spans="1:11" s="87" customFormat="1" x14ac:dyDescent="0.3">
      <c r="A61" s="83"/>
      <c r="B61" s="83"/>
      <c r="C61" s="143">
        <f t="shared" si="0"/>
        <v>0</v>
      </c>
      <c r="D61" s="83"/>
      <c r="E61" s="83"/>
      <c r="F61" s="83"/>
      <c r="G61" s="85">
        <v>7000</v>
      </c>
      <c r="H61" s="85">
        <f t="shared" si="2"/>
        <v>0</v>
      </c>
      <c r="I61" s="83"/>
      <c r="J61" s="84">
        <v>9000</v>
      </c>
      <c r="K61" s="86">
        <f t="shared" si="1"/>
        <v>0</v>
      </c>
    </row>
    <row r="62" spans="1:11" s="87" customFormat="1" x14ac:dyDescent="0.3">
      <c r="A62" s="83"/>
      <c r="B62" s="83"/>
      <c r="C62" s="143">
        <f t="shared" si="0"/>
        <v>0</v>
      </c>
      <c r="D62" s="83"/>
      <c r="E62" s="83"/>
      <c r="F62" s="83"/>
      <c r="G62" s="85">
        <v>7000</v>
      </c>
      <c r="H62" s="85">
        <f t="shared" si="2"/>
        <v>0</v>
      </c>
      <c r="I62" s="83"/>
      <c r="J62" s="84">
        <v>9000</v>
      </c>
      <c r="K62" s="86">
        <f t="shared" si="1"/>
        <v>0</v>
      </c>
    </row>
    <row r="63" spans="1:11" s="87" customFormat="1" x14ac:dyDescent="0.3">
      <c r="A63" s="83"/>
      <c r="B63" s="83"/>
      <c r="C63" s="143">
        <f t="shared" si="0"/>
        <v>0</v>
      </c>
      <c r="D63" s="83"/>
      <c r="E63" s="83"/>
      <c r="F63" s="83"/>
      <c r="G63" s="85">
        <v>7000</v>
      </c>
      <c r="H63" s="85">
        <f t="shared" si="2"/>
        <v>0</v>
      </c>
      <c r="I63" s="83"/>
      <c r="J63" s="84">
        <v>9000</v>
      </c>
      <c r="K63" s="86">
        <f t="shared" si="1"/>
        <v>0</v>
      </c>
    </row>
    <row r="64" spans="1:11" s="87" customFormat="1" x14ac:dyDescent="0.3">
      <c r="A64" s="83"/>
      <c r="B64" s="83"/>
      <c r="C64" s="143">
        <f t="shared" si="0"/>
        <v>0</v>
      </c>
      <c r="D64" s="83"/>
      <c r="E64" s="83"/>
      <c r="F64" s="83"/>
      <c r="G64" s="85">
        <v>7000</v>
      </c>
      <c r="H64" s="85">
        <f t="shared" si="2"/>
        <v>0</v>
      </c>
      <c r="I64" s="83"/>
      <c r="J64" s="84">
        <v>9000</v>
      </c>
      <c r="K64" s="86">
        <f t="shared" si="1"/>
        <v>0</v>
      </c>
    </row>
    <row r="65" spans="1:11" s="87" customFormat="1" x14ac:dyDescent="0.3">
      <c r="A65" s="83"/>
      <c r="B65" s="83"/>
      <c r="C65" s="143">
        <f t="shared" si="0"/>
        <v>0</v>
      </c>
      <c r="D65" s="83"/>
      <c r="E65" s="83"/>
      <c r="F65" s="83"/>
      <c r="G65" s="85">
        <v>7000</v>
      </c>
      <c r="H65" s="85">
        <f t="shared" si="2"/>
        <v>0</v>
      </c>
      <c r="I65" s="83"/>
      <c r="J65" s="84">
        <v>9000</v>
      </c>
      <c r="K65" s="86">
        <f t="shared" si="1"/>
        <v>0</v>
      </c>
    </row>
    <row r="66" spans="1:11" s="87" customFormat="1" x14ac:dyDescent="0.3">
      <c r="A66" s="83"/>
      <c r="B66" s="83"/>
      <c r="C66" s="143">
        <f t="shared" si="0"/>
        <v>0</v>
      </c>
      <c r="D66" s="83"/>
      <c r="E66" s="83"/>
      <c r="F66" s="83"/>
      <c r="G66" s="85">
        <v>7000</v>
      </c>
      <c r="H66" s="85">
        <f t="shared" si="2"/>
        <v>0</v>
      </c>
      <c r="I66" s="83"/>
      <c r="J66" s="84">
        <v>9000</v>
      </c>
      <c r="K66" s="86">
        <f t="shared" si="1"/>
        <v>0</v>
      </c>
    </row>
    <row r="67" spans="1:11" s="87" customFormat="1" x14ac:dyDescent="0.3">
      <c r="A67" s="83"/>
      <c r="B67" s="83"/>
      <c r="C67" s="143">
        <f t="shared" si="0"/>
        <v>0</v>
      </c>
      <c r="D67" s="83"/>
      <c r="E67" s="83"/>
      <c r="F67" s="83"/>
      <c r="G67" s="85">
        <v>7000</v>
      </c>
      <c r="H67" s="85">
        <f t="shared" si="2"/>
        <v>0</v>
      </c>
      <c r="I67" s="83"/>
      <c r="J67" s="84">
        <v>9000</v>
      </c>
      <c r="K67" s="86">
        <f t="shared" si="1"/>
        <v>0</v>
      </c>
    </row>
    <row r="68" spans="1:11" s="87" customFormat="1" x14ac:dyDescent="0.3">
      <c r="A68" s="83"/>
      <c r="B68" s="83"/>
      <c r="C68" s="143">
        <f t="shared" si="0"/>
        <v>0</v>
      </c>
      <c r="D68" s="83"/>
      <c r="E68" s="83"/>
      <c r="F68" s="83"/>
      <c r="G68" s="85">
        <v>7000</v>
      </c>
      <c r="H68" s="85">
        <f t="shared" si="2"/>
        <v>0</v>
      </c>
      <c r="I68" s="83"/>
      <c r="J68" s="84">
        <v>9000</v>
      </c>
      <c r="K68" s="86">
        <f t="shared" si="1"/>
        <v>0</v>
      </c>
    </row>
    <row r="69" spans="1:11" s="87" customFormat="1" x14ac:dyDescent="0.3">
      <c r="A69" s="83"/>
      <c r="B69" s="83"/>
      <c r="C69" s="143">
        <f t="shared" si="0"/>
        <v>0</v>
      </c>
      <c r="D69" s="83"/>
      <c r="E69" s="83"/>
      <c r="F69" s="83"/>
      <c r="G69" s="85">
        <v>7000</v>
      </c>
      <c r="H69" s="85">
        <f t="shared" si="2"/>
        <v>0</v>
      </c>
      <c r="I69" s="83"/>
      <c r="J69" s="84">
        <v>9000</v>
      </c>
      <c r="K69" s="86">
        <f t="shared" si="1"/>
        <v>0</v>
      </c>
    </row>
    <row r="70" spans="1:11" s="87" customFormat="1" x14ac:dyDescent="0.3">
      <c r="C70" s="93"/>
      <c r="G70" s="93"/>
      <c r="H70" s="93"/>
      <c r="J70" s="93"/>
      <c r="K70" s="93"/>
    </row>
    <row r="71" spans="1:11" s="87" customFormat="1" x14ac:dyDescent="0.3">
      <c r="B71" s="114"/>
      <c r="C71" s="115"/>
      <c r="D71" s="114"/>
      <c r="E71" s="114"/>
      <c r="F71" s="114"/>
      <c r="G71" s="115"/>
      <c r="H71" s="115"/>
      <c r="I71" s="114"/>
      <c r="J71" s="115"/>
      <c r="K71" s="115"/>
    </row>
    <row r="72" spans="1:11" ht="15" thickBot="1" x14ac:dyDescent="0.35">
      <c r="B72" s="116"/>
      <c r="C72" s="117"/>
      <c r="D72" s="136"/>
      <c r="E72" s="81"/>
      <c r="F72" s="81"/>
      <c r="G72" s="119"/>
      <c r="H72" s="120"/>
      <c r="I72" s="121"/>
      <c r="J72" s="120"/>
      <c r="K72" s="120"/>
    </row>
    <row r="73" spans="1:11" x14ac:dyDescent="0.3">
      <c r="B73" s="163" t="s">
        <v>27</v>
      </c>
      <c r="C73" s="163"/>
      <c r="D73" s="136"/>
      <c r="E73" s="136"/>
      <c r="F73" s="122"/>
      <c r="G73" s="119"/>
      <c r="H73" s="163" t="s">
        <v>29</v>
      </c>
      <c r="I73" s="163"/>
      <c r="J73" s="163"/>
      <c r="K73" s="163"/>
    </row>
    <row r="74" spans="1:11" x14ac:dyDescent="0.3">
      <c r="B74" s="164" t="s">
        <v>28</v>
      </c>
      <c r="C74" s="164"/>
      <c r="D74" s="136"/>
      <c r="E74" s="81"/>
      <c r="F74" s="81"/>
      <c r="G74" s="119"/>
      <c r="H74" s="165" t="s">
        <v>30</v>
      </c>
      <c r="I74" s="165"/>
      <c r="J74" s="165"/>
      <c r="K74" s="165"/>
    </row>
    <row r="75" spans="1:11" x14ac:dyDescent="0.3">
      <c r="B75" s="81"/>
      <c r="C75" s="122"/>
      <c r="D75" s="136"/>
      <c r="E75" s="81"/>
      <c r="F75" s="81"/>
      <c r="G75" s="119"/>
      <c r="H75" s="136"/>
      <c r="I75" s="122"/>
      <c r="J75" s="119"/>
      <c r="K75" s="119"/>
    </row>
    <row r="76" spans="1:11" x14ac:dyDescent="0.3">
      <c r="C76" s="45"/>
      <c r="D76" s="44"/>
    </row>
    <row r="77" spans="1:11" x14ac:dyDescent="0.3">
      <c r="G77" s="78"/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6"/>
  <dimension ref="B1:M77"/>
  <sheetViews>
    <sheetView zoomScaleNormal="100" workbookViewId="0">
      <pane xSplit="2" topLeftCell="C1" activePane="topRight" state="frozen"/>
      <selection pane="topRight" activeCell="D6" sqref="D6"/>
    </sheetView>
  </sheetViews>
  <sheetFormatPr baseColWidth="10" defaultRowHeight="14.4" x14ac:dyDescent="0.3"/>
  <cols>
    <col min="1" max="2" width="11.44140625" style="78"/>
    <col min="3" max="3" width="31.109375" style="78" customWidth="1"/>
    <col min="4" max="4" width="23.6640625" style="78" customWidth="1"/>
    <col min="5" max="5" width="13.33203125" style="79" customWidth="1"/>
    <col min="6" max="6" width="11.44140625" style="78" customWidth="1"/>
    <col min="7" max="7" width="11.109375" style="78" customWidth="1"/>
    <col min="8" max="8" width="19.109375" style="78" customWidth="1"/>
    <col min="9" max="9" width="24.5546875" style="79" customWidth="1"/>
    <col min="10" max="247" width="11.44140625" style="78"/>
    <col min="248" max="248" width="30.33203125" style="78" customWidth="1"/>
    <col min="249" max="249" width="10.44140625" style="78" customWidth="1"/>
    <col min="250" max="251" width="11.44140625" style="78"/>
    <col min="252" max="252" width="10.33203125" style="78" customWidth="1"/>
    <col min="253" max="253" width="9.5546875" style="78" customWidth="1"/>
    <col min="254" max="254" width="13.109375" style="78" customWidth="1"/>
    <col min="255" max="255" width="9.88671875" style="78" customWidth="1"/>
    <col min="256" max="256" width="9.109375" style="78" customWidth="1"/>
    <col min="257" max="258" width="13.88671875" style="78" customWidth="1"/>
    <col min="259" max="259" width="10.5546875" style="78" customWidth="1"/>
    <col min="260" max="260" width="15.109375" style="78" customWidth="1"/>
    <col min="261" max="261" width="20.44140625" style="78" customWidth="1"/>
    <col min="262" max="503" width="11.44140625" style="78"/>
    <col min="504" max="504" width="30.33203125" style="78" customWidth="1"/>
    <col min="505" max="505" width="10.44140625" style="78" customWidth="1"/>
    <col min="506" max="507" width="11.44140625" style="78"/>
    <col min="508" max="508" width="10.33203125" style="78" customWidth="1"/>
    <col min="509" max="509" width="9.5546875" style="78" customWidth="1"/>
    <col min="510" max="510" width="13.109375" style="78" customWidth="1"/>
    <col min="511" max="511" width="9.88671875" style="78" customWidth="1"/>
    <col min="512" max="512" width="9.109375" style="78" customWidth="1"/>
    <col min="513" max="514" width="13.88671875" style="78" customWidth="1"/>
    <col min="515" max="515" width="10.5546875" style="78" customWidth="1"/>
    <col min="516" max="516" width="15.109375" style="78" customWidth="1"/>
    <col min="517" max="517" width="20.44140625" style="78" customWidth="1"/>
    <col min="518" max="759" width="11.44140625" style="78"/>
    <col min="760" max="760" width="30.33203125" style="78" customWidth="1"/>
    <col min="761" max="761" width="10.44140625" style="78" customWidth="1"/>
    <col min="762" max="763" width="11.44140625" style="78"/>
    <col min="764" max="764" width="10.33203125" style="78" customWidth="1"/>
    <col min="765" max="765" width="9.5546875" style="78" customWidth="1"/>
    <col min="766" max="766" width="13.109375" style="78" customWidth="1"/>
    <col min="767" max="767" width="9.88671875" style="78" customWidth="1"/>
    <col min="768" max="768" width="9.109375" style="78" customWidth="1"/>
    <col min="769" max="770" width="13.88671875" style="78" customWidth="1"/>
    <col min="771" max="771" width="10.5546875" style="78" customWidth="1"/>
    <col min="772" max="772" width="15.109375" style="78" customWidth="1"/>
    <col min="773" max="773" width="20.44140625" style="78" customWidth="1"/>
    <col min="774" max="1015" width="11.44140625" style="78"/>
    <col min="1016" max="1016" width="30.33203125" style="78" customWidth="1"/>
    <col min="1017" max="1017" width="10.44140625" style="78" customWidth="1"/>
    <col min="1018" max="1019" width="11.44140625" style="78"/>
    <col min="1020" max="1020" width="10.33203125" style="78" customWidth="1"/>
    <col min="1021" max="1021" width="9.5546875" style="78" customWidth="1"/>
    <col min="1022" max="1022" width="13.109375" style="78" customWidth="1"/>
    <col min="1023" max="1023" width="9.88671875" style="78" customWidth="1"/>
    <col min="1024" max="1024" width="9.109375" style="78" customWidth="1"/>
    <col min="1025" max="1026" width="13.88671875" style="78" customWidth="1"/>
    <col min="1027" max="1027" width="10.5546875" style="78" customWidth="1"/>
    <col min="1028" max="1028" width="15.109375" style="78" customWidth="1"/>
    <col min="1029" max="1029" width="20.44140625" style="78" customWidth="1"/>
    <col min="1030" max="1271" width="11.44140625" style="78"/>
    <col min="1272" max="1272" width="30.33203125" style="78" customWidth="1"/>
    <col min="1273" max="1273" width="10.44140625" style="78" customWidth="1"/>
    <col min="1274" max="1275" width="11.44140625" style="78"/>
    <col min="1276" max="1276" width="10.33203125" style="78" customWidth="1"/>
    <col min="1277" max="1277" width="9.5546875" style="78" customWidth="1"/>
    <col min="1278" max="1278" width="13.109375" style="78" customWidth="1"/>
    <col min="1279" max="1279" width="9.88671875" style="78" customWidth="1"/>
    <col min="1280" max="1280" width="9.109375" style="78" customWidth="1"/>
    <col min="1281" max="1282" width="13.88671875" style="78" customWidth="1"/>
    <col min="1283" max="1283" width="10.5546875" style="78" customWidth="1"/>
    <col min="1284" max="1284" width="15.109375" style="78" customWidth="1"/>
    <col min="1285" max="1285" width="20.44140625" style="78" customWidth="1"/>
    <col min="1286" max="1527" width="11.44140625" style="78"/>
    <col min="1528" max="1528" width="30.33203125" style="78" customWidth="1"/>
    <col min="1529" max="1529" width="10.44140625" style="78" customWidth="1"/>
    <col min="1530" max="1531" width="11.44140625" style="78"/>
    <col min="1532" max="1532" width="10.33203125" style="78" customWidth="1"/>
    <col min="1533" max="1533" width="9.5546875" style="78" customWidth="1"/>
    <col min="1534" max="1534" width="13.109375" style="78" customWidth="1"/>
    <col min="1535" max="1535" width="9.88671875" style="78" customWidth="1"/>
    <col min="1536" max="1536" width="9.109375" style="78" customWidth="1"/>
    <col min="1537" max="1538" width="13.88671875" style="78" customWidth="1"/>
    <col min="1539" max="1539" width="10.5546875" style="78" customWidth="1"/>
    <col min="1540" max="1540" width="15.109375" style="78" customWidth="1"/>
    <col min="1541" max="1541" width="20.44140625" style="78" customWidth="1"/>
    <col min="1542" max="1783" width="11.44140625" style="78"/>
    <col min="1784" max="1784" width="30.33203125" style="78" customWidth="1"/>
    <col min="1785" max="1785" width="10.44140625" style="78" customWidth="1"/>
    <col min="1786" max="1787" width="11.44140625" style="78"/>
    <col min="1788" max="1788" width="10.33203125" style="78" customWidth="1"/>
    <col min="1789" max="1789" width="9.5546875" style="78" customWidth="1"/>
    <col min="1790" max="1790" width="13.109375" style="78" customWidth="1"/>
    <col min="1791" max="1791" width="9.88671875" style="78" customWidth="1"/>
    <col min="1792" max="1792" width="9.109375" style="78" customWidth="1"/>
    <col min="1793" max="1794" width="13.88671875" style="78" customWidth="1"/>
    <col min="1795" max="1795" width="10.5546875" style="78" customWidth="1"/>
    <col min="1796" max="1796" width="15.109375" style="78" customWidth="1"/>
    <col min="1797" max="1797" width="20.44140625" style="78" customWidth="1"/>
    <col min="1798" max="2039" width="11.44140625" style="78"/>
    <col min="2040" max="2040" width="30.33203125" style="78" customWidth="1"/>
    <col min="2041" max="2041" width="10.44140625" style="78" customWidth="1"/>
    <col min="2042" max="2043" width="11.44140625" style="78"/>
    <col min="2044" max="2044" width="10.33203125" style="78" customWidth="1"/>
    <col min="2045" max="2045" width="9.5546875" style="78" customWidth="1"/>
    <col min="2046" max="2046" width="13.109375" style="78" customWidth="1"/>
    <col min="2047" max="2047" width="9.88671875" style="78" customWidth="1"/>
    <col min="2048" max="2048" width="9.109375" style="78" customWidth="1"/>
    <col min="2049" max="2050" width="13.88671875" style="78" customWidth="1"/>
    <col min="2051" max="2051" width="10.5546875" style="78" customWidth="1"/>
    <col min="2052" max="2052" width="15.109375" style="78" customWidth="1"/>
    <col min="2053" max="2053" width="20.44140625" style="78" customWidth="1"/>
    <col min="2054" max="2295" width="11.44140625" style="78"/>
    <col min="2296" max="2296" width="30.33203125" style="78" customWidth="1"/>
    <col min="2297" max="2297" width="10.44140625" style="78" customWidth="1"/>
    <col min="2298" max="2299" width="11.44140625" style="78"/>
    <col min="2300" max="2300" width="10.33203125" style="78" customWidth="1"/>
    <col min="2301" max="2301" width="9.5546875" style="78" customWidth="1"/>
    <col min="2302" max="2302" width="13.109375" style="78" customWidth="1"/>
    <col min="2303" max="2303" width="9.88671875" style="78" customWidth="1"/>
    <col min="2304" max="2304" width="9.109375" style="78" customWidth="1"/>
    <col min="2305" max="2306" width="13.88671875" style="78" customWidth="1"/>
    <col min="2307" max="2307" width="10.5546875" style="78" customWidth="1"/>
    <col min="2308" max="2308" width="15.109375" style="78" customWidth="1"/>
    <col min="2309" max="2309" width="20.44140625" style="78" customWidth="1"/>
    <col min="2310" max="2551" width="11.44140625" style="78"/>
    <col min="2552" max="2552" width="30.33203125" style="78" customWidth="1"/>
    <col min="2553" max="2553" width="10.44140625" style="78" customWidth="1"/>
    <col min="2554" max="2555" width="11.44140625" style="78"/>
    <col min="2556" max="2556" width="10.33203125" style="78" customWidth="1"/>
    <col min="2557" max="2557" width="9.5546875" style="78" customWidth="1"/>
    <col min="2558" max="2558" width="13.109375" style="78" customWidth="1"/>
    <col min="2559" max="2559" width="9.88671875" style="78" customWidth="1"/>
    <col min="2560" max="2560" width="9.109375" style="78" customWidth="1"/>
    <col min="2561" max="2562" width="13.88671875" style="78" customWidth="1"/>
    <col min="2563" max="2563" width="10.5546875" style="78" customWidth="1"/>
    <col min="2564" max="2564" width="15.109375" style="78" customWidth="1"/>
    <col min="2565" max="2565" width="20.44140625" style="78" customWidth="1"/>
    <col min="2566" max="2807" width="11.44140625" style="78"/>
    <col min="2808" max="2808" width="30.33203125" style="78" customWidth="1"/>
    <col min="2809" max="2809" width="10.44140625" style="78" customWidth="1"/>
    <col min="2810" max="2811" width="11.44140625" style="78"/>
    <col min="2812" max="2812" width="10.33203125" style="78" customWidth="1"/>
    <col min="2813" max="2813" width="9.5546875" style="78" customWidth="1"/>
    <col min="2814" max="2814" width="13.109375" style="78" customWidth="1"/>
    <col min="2815" max="2815" width="9.88671875" style="78" customWidth="1"/>
    <col min="2816" max="2816" width="9.109375" style="78" customWidth="1"/>
    <col min="2817" max="2818" width="13.88671875" style="78" customWidth="1"/>
    <col min="2819" max="2819" width="10.5546875" style="78" customWidth="1"/>
    <col min="2820" max="2820" width="15.109375" style="78" customWidth="1"/>
    <col min="2821" max="2821" width="20.44140625" style="78" customWidth="1"/>
    <col min="2822" max="3063" width="11.44140625" style="78"/>
    <col min="3064" max="3064" width="30.33203125" style="78" customWidth="1"/>
    <col min="3065" max="3065" width="10.44140625" style="78" customWidth="1"/>
    <col min="3066" max="3067" width="11.44140625" style="78"/>
    <col min="3068" max="3068" width="10.33203125" style="78" customWidth="1"/>
    <col min="3069" max="3069" width="9.5546875" style="78" customWidth="1"/>
    <col min="3070" max="3070" width="13.109375" style="78" customWidth="1"/>
    <col min="3071" max="3071" width="9.88671875" style="78" customWidth="1"/>
    <col min="3072" max="3072" width="9.109375" style="78" customWidth="1"/>
    <col min="3073" max="3074" width="13.88671875" style="78" customWidth="1"/>
    <col min="3075" max="3075" width="10.5546875" style="78" customWidth="1"/>
    <col min="3076" max="3076" width="15.109375" style="78" customWidth="1"/>
    <col min="3077" max="3077" width="20.44140625" style="78" customWidth="1"/>
    <col min="3078" max="3319" width="11.44140625" style="78"/>
    <col min="3320" max="3320" width="30.33203125" style="78" customWidth="1"/>
    <col min="3321" max="3321" width="10.44140625" style="78" customWidth="1"/>
    <col min="3322" max="3323" width="11.44140625" style="78"/>
    <col min="3324" max="3324" width="10.33203125" style="78" customWidth="1"/>
    <col min="3325" max="3325" width="9.5546875" style="78" customWidth="1"/>
    <col min="3326" max="3326" width="13.109375" style="78" customWidth="1"/>
    <col min="3327" max="3327" width="9.88671875" style="78" customWidth="1"/>
    <col min="3328" max="3328" width="9.109375" style="78" customWidth="1"/>
    <col min="3329" max="3330" width="13.88671875" style="78" customWidth="1"/>
    <col min="3331" max="3331" width="10.5546875" style="78" customWidth="1"/>
    <col min="3332" max="3332" width="15.109375" style="78" customWidth="1"/>
    <col min="3333" max="3333" width="20.44140625" style="78" customWidth="1"/>
    <col min="3334" max="3575" width="11.44140625" style="78"/>
    <col min="3576" max="3576" width="30.33203125" style="78" customWidth="1"/>
    <col min="3577" max="3577" width="10.44140625" style="78" customWidth="1"/>
    <col min="3578" max="3579" width="11.44140625" style="78"/>
    <col min="3580" max="3580" width="10.33203125" style="78" customWidth="1"/>
    <col min="3581" max="3581" width="9.5546875" style="78" customWidth="1"/>
    <col min="3582" max="3582" width="13.109375" style="78" customWidth="1"/>
    <col min="3583" max="3583" width="9.88671875" style="78" customWidth="1"/>
    <col min="3584" max="3584" width="9.109375" style="78" customWidth="1"/>
    <col min="3585" max="3586" width="13.88671875" style="78" customWidth="1"/>
    <col min="3587" max="3587" width="10.5546875" style="78" customWidth="1"/>
    <col min="3588" max="3588" width="15.109375" style="78" customWidth="1"/>
    <col min="3589" max="3589" width="20.44140625" style="78" customWidth="1"/>
    <col min="3590" max="3831" width="11.44140625" style="78"/>
    <col min="3832" max="3832" width="30.33203125" style="78" customWidth="1"/>
    <col min="3833" max="3833" width="10.44140625" style="78" customWidth="1"/>
    <col min="3834" max="3835" width="11.44140625" style="78"/>
    <col min="3836" max="3836" width="10.33203125" style="78" customWidth="1"/>
    <col min="3837" max="3837" width="9.5546875" style="78" customWidth="1"/>
    <col min="3838" max="3838" width="13.109375" style="78" customWidth="1"/>
    <col min="3839" max="3839" width="9.88671875" style="78" customWidth="1"/>
    <col min="3840" max="3840" width="9.109375" style="78" customWidth="1"/>
    <col min="3841" max="3842" width="13.88671875" style="78" customWidth="1"/>
    <col min="3843" max="3843" width="10.5546875" style="78" customWidth="1"/>
    <col min="3844" max="3844" width="15.109375" style="78" customWidth="1"/>
    <col min="3845" max="3845" width="20.44140625" style="78" customWidth="1"/>
    <col min="3846" max="4087" width="11.44140625" style="78"/>
    <col min="4088" max="4088" width="30.33203125" style="78" customWidth="1"/>
    <col min="4089" max="4089" width="10.44140625" style="78" customWidth="1"/>
    <col min="4090" max="4091" width="11.44140625" style="78"/>
    <col min="4092" max="4092" width="10.33203125" style="78" customWidth="1"/>
    <col min="4093" max="4093" width="9.5546875" style="78" customWidth="1"/>
    <col min="4094" max="4094" width="13.109375" style="78" customWidth="1"/>
    <col min="4095" max="4095" width="9.88671875" style="78" customWidth="1"/>
    <col min="4096" max="4096" width="9.109375" style="78" customWidth="1"/>
    <col min="4097" max="4098" width="13.88671875" style="78" customWidth="1"/>
    <col min="4099" max="4099" width="10.5546875" style="78" customWidth="1"/>
    <col min="4100" max="4100" width="15.109375" style="78" customWidth="1"/>
    <col min="4101" max="4101" width="20.44140625" style="78" customWidth="1"/>
    <col min="4102" max="4343" width="11.44140625" style="78"/>
    <col min="4344" max="4344" width="30.33203125" style="78" customWidth="1"/>
    <col min="4345" max="4345" width="10.44140625" style="78" customWidth="1"/>
    <col min="4346" max="4347" width="11.44140625" style="78"/>
    <col min="4348" max="4348" width="10.33203125" style="78" customWidth="1"/>
    <col min="4349" max="4349" width="9.5546875" style="78" customWidth="1"/>
    <col min="4350" max="4350" width="13.109375" style="78" customWidth="1"/>
    <col min="4351" max="4351" width="9.88671875" style="78" customWidth="1"/>
    <col min="4352" max="4352" width="9.109375" style="78" customWidth="1"/>
    <col min="4353" max="4354" width="13.88671875" style="78" customWidth="1"/>
    <col min="4355" max="4355" width="10.5546875" style="78" customWidth="1"/>
    <col min="4356" max="4356" width="15.109375" style="78" customWidth="1"/>
    <col min="4357" max="4357" width="20.44140625" style="78" customWidth="1"/>
    <col min="4358" max="4599" width="11.44140625" style="78"/>
    <col min="4600" max="4600" width="30.33203125" style="78" customWidth="1"/>
    <col min="4601" max="4601" width="10.44140625" style="78" customWidth="1"/>
    <col min="4602" max="4603" width="11.44140625" style="78"/>
    <col min="4604" max="4604" width="10.33203125" style="78" customWidth="1"/>
    <col min="4605" max="4605" width="9.5546875" style="78" customWidth="1"/>
    <col min="4606" max="4606" width="13.109375" style="78" customWidth="1"/>
    <col min="4607" max="4607" width="9.88671875" style="78" customWidth="1"/>
    <col min="4608" max="4608" width="9.109375" style="78" customWidth="1"/>
    <col min="4609" max="4610" width="13.88671875" style="78" customWidth="1"/>
    <col min="4611" max="4611" width="10.5546875" style="78" customWidth="1"/>
    <col min="4612" max="4612" width="15.109375" style="78" customWidth="1"/>
    <col min="4613" max="4613" width="20.44140625" style="78" customWidth="1"/>
    <col min="4614" max="4855" width="11.44140625" style="78"/>
    <col min="4856" max="4856" width="30.33203125" style="78" customWidth="1"/>
    <col min="4857" max="4857" width="10.44140625" style="78" customWidth="1"/>
    <col min="4858" max="4859" width="11.44140625" style="78"/>
    <col min="4860" max="4860" width="10.33203125" style="78" customWidth="1"/>
    <col min="4861" max="4861" width="9.5546875" style="78" customWidth="1"/>
    <col min="4862" max="4862" width="13.109375" style="78" customWidth="1"/>
    <col min="4863" max="4863" width="9.88671875" style="78" customWidth="1"/>
    <col min="4864" max="4864" width="9.109375" style="78" customWidth="1"/>
    <col min="4865" max="4866" width="13.88671875" style="78" customWidth="1"/>
    <col min="4867" max="4867" width="10.5546875" style="78" customWidth="1"/>
    <col min="4868" max="4868" width="15.109375" style="78" customWidth="1"/>
    <col min="4869" max="4869" width="20.44140625" style="78" customWidth="1"/>
    <col min="4870" max="5111" width="11.44140625" style="78"/>
    <col min="5112" max="5112" width="30.33203125" style="78" customWidth="1"/>
    <col min="5113" max="5113" width="10.44140625" style="78" customWidth="1"/>
    <col min="5114" max="5115" width="11.44140625" style="78"/>
    <col min="5116" max="5116" width="10.33203125" style="78" customWidth="1"/>
    <col min="5117" max="5117" width="9.5546875" style="78" customWidth="1"/>
    <col min="5118" max="5118" width="13.109375" style="78" customWidth="1"/>
    <col min="5119" max="5119" width="9.88671875" style="78" customWidth="1"/>
    <col min="5120" max="5120" width="9.109375" style="78" customWidth="1"/>
    <col min="5121" max="5122" width="13.88671875" style="78" customWidth="1"/>
    <col min="5123" max="5123" width="10.5546875" style="78" customWidth="1"/>
    <col min="5124" max="5124" width="15.109375" style="78" customWidth="1"/>
    <col min="5125" max="5125" width="20.44140625" style="78" customWidth="1"/>
    <col min="5126" max="5367" width="11.44140625" style="78"/>
    <col min="5368" max="5368" width="30.33203125" style="78" customWidth="1"/>
    <col min="5369" max="5369" width="10.44140625" style="78" customWidth="1"/>
    <col min="5370" max="5371" width="11.44140625" style="78"/>
    <col min="5372" max="5372" width="10.33203125" style="78" customWidth="1"/>
    <col min="5373" max="5373" width="9.5546875" style="78" customWidth="1"/>
    <col min="5374" max="5374" width="13.109375" style="78" customWidth="1"/>
    <col min="5375" max="5375" width="9.88671875" style="78" customWidth="1"/>
    <col min="5376" max="5376" width="9.109375" style="78" customWidth="1"/>
    <col min="5377" max="5378" width="13.88671875" style="78" customWidth="1"/>
    <col min="5379" max="5379" width="10.5546875" style="78" customWidth="1"/>
    <col min="5380" max="5380" width="15.109375" style="78" customWidth="1"/>
    <col min="5381" max="5381" width="20.44140625" style="78" customWidth="1"/>
    <col min="5382" max="5623" width="11.44140625" style="78"/>
    <col min="5624" max="5624" width="30.33203125" style="78" customWidth="1"/>
    <col min="5625" max="5625" width="10.44140625" style="78" customWidth="1"/>
    <col min="5626" max="5627" width="11.44140625" style="78"/>
    <col min="5628" max="5628" width="10.33203125" style="78" customWidth="1"/>
    <col min="5629" max="5629" width="9.5546875" style="78" customWidth="1"/>
    <col min="5630" max="5630" width="13.109375" style="78" customWidth="1"/>
    <col min="5631" max="5631" width="9.88671875" style="78" customWidth="1"/>
    <col min="5632" max="5632" width="9.109375" style="78" customWidth="1"/>
    <col min="5633" max="5634" width="13.88671875" style="78" customWidth="1"/>
    <col min="5635" max="5635" width="10.5546875" style="78" customWidth="1"/>
    <col min="5636" max="5636" width="15.109375" style="78" customWidth="1"/>
    <col min="5637" max="5637" width="20.44140625" style="78" customWidth="1"/>
    <col min="5638" max="5879" width="11.44140625" style="78"/>
    <col min="5880" max="5880" width="30.33203125" style="78" customWidth="1"/>
    <col min="5881" max="5881" width="10.44140625" style="78" customWidth="1"/>
    <col min="5882" max="5883" width="11.44140625" style="78"/>
    <col min="5884" max="5884" width="10.33203125" style="78" customWidth="1"/>
    <col min="5885" max="5885" width="9.5546875" style="78" customWidth="1"/>
    <col min="5886" max="5886" width="13.109375" style="78" customWidth="1"/>
    <col min="5887" max="5887" width="9.88671875" style="78" customWidth="1"/>
    <col min="5888" max="5888" width="9.109375" style="78" customWidth="1"/>
    <col min="5889" max="5890" width="13.88671875" style="78" customWidth="1"/>
    <col min="5891" max="5891" width="10.5546875" style="78" customWidth="1"/>
    <col min="5892" max="5892" width="15.109375" style="78" customWidth="1"/>
    <col min="5893" max="5893" width="20.44140625" style="78" customWidth="1"/>
    <col min="5894" max="6135" width="11.44140625" style="78"/>
    <col min="6136" max="6136" width="30.33203125" style="78" customWidth="1"/>
    <col min="6137" max="6137" width="10.44140625" style="78" customWidth="1"/>
    <col min="6138" max="6139" width="11.44140625" style="78"/>
    <col min="6140" max="6140" width="10.33203125" style="78" customWidth="1"/>
    <col min="6141" max="6141" width="9.5546875" style="78" customWidth="1"/>
    <col min="6142" max="6142" width="13.109375" style="78" customWidth="1"/>
    <col min="6143" max="6143" width="9.88671875" style="78" customWidth="1"/>
    <col min="6144" max="6144" width="9.109375" style="78" customWidth="1"/>
    <col min="6145" max="6146" width="13.88671875" style="78" customWidth="1"/>
    <col min="6147" max="6147" width="10.5546875" style="78" customWidth="1"/>
    <col min="6148" max="6148" width="15.109375" style="78" customWidth="1"/>
    <col min="6149" max="6149" width="20.44140625" style="78" customWidth="1"/>
    <col min="6150" max="6391" width="11.44140625" style="78"/>
    <col min="6392" max="6392" width="30.33203125" style="78" customWidth="1"/>
    <col min="6393" max="6393" width="10.44140625" style="78" customWidth="1"/>
    <col min="6394" max="6395" width="11.44140625" style="78"/>
    <col min="6396" max="6396" width="10.33203125" style="78" customWidth="1"/>
    <col min="6397" max="6397" width="9.5546875" style="78" customWidth="1"/>
    <col min="6398" max="6398" width="13.109375" style="78" customWidth="1"/>
    <col min="6399" max="6399" width="9.88671875" style="78" customWidth="1"/>
    <col min="6400" max="6400" width="9.109375" style="78" customWidth="1"/>
    <col min="6401" max="6402" width="13.88671875" style="78" customWidth="1"/>
    <col min="6403" max="6403" width="10.5546875" style="78" customWidth="1"/>
    <col min="6404" max="6404" width="15.109375" style="78" customWidth="1"/>
    <col min="6405" max="6405" width="20.44140625" style="78" customWidth="1"/>
    <col min="6406" max="6647" width="11.44140625" style="78"/>
    <col min="6648" max="6648" width="30.33203125" style="78" customWidth="1"/>
    <col min="6649" max="6649" width="10.44140625" style="78" customWidth="1"/>
    <col min="6650" max="6651" width="11.44140625" style="78"/>
    <col min="6652" max="6652" width="10.33203125" style="78" customWidth="1"/>
    <col min="6653" max="6653" width="9.5546875" style="78" customWidth="1"/>
    <col min="6654" max="6654" width="13.109375" style="78" customWidth="1"/>
    <col min="6655" max="6655" width="9.88671875" style="78" customWidth="1"/>
    <col min="6656" max="6656" width="9.109375" style="78" customWidth="1"/>
    <col min="6657" max="6658" width="13.88671875" style="78" customWidth="1"/>
    <col min="6659" max="6659" width="10.5546875" style="78" customWidth="1"/>
    <col min="6660" max="6660" width="15.109375" style="78" customWidth="1"/>
    <col min="6661" max="6661" width="20.44140625" style="78" customWidth="1"/>
    <col min="6662" max="6903" width="11.44140625" style="78"/>
    <col min="6904" max="6904" width="30.33203125" style="78" customWidth="1"/>
    <col min="6905" max="6905" width="10.44140625" style="78" customWidth="1"/>
    <col min="6906" max="6907" width="11.44140625" style="78"/>
    <col min="6908" max="6908" width="10.33203125" style="78" customWidth="1"/>
    <col min="6909" max="6909" width="9.5546875" style="78" customWidth="1"/>
    <col min="6910" max="6910" width="13.109375" style="78" customWidth="1"/>
    <col min="6911" max="6911" width="9.88671875" style="78" customWidth="1"/>
    <col min="6912" max="6912" width="9.109375" style="78" customWidth="1"/>
    <col min="6913" max="6914" width="13.88671875" style="78" customWidth="1"/>
    <col min="6915" max="6915" width="10.5546875" style="78" customWidth="1"/>
    <col min="6916" max="6916" width="15.109375" style="78" customWidth="1"/>
    <col min="6917" max="6917" width="20.44140625" style="78" customWidth="1"/>
    <col min="6918" max="7159" width="11.44140625" style="78"/>
    <col min="7160" max="7160" width="30.33203125" style="78" customWidth="1"/>
    <col min="7161" max="7161" width="10.44140625" style="78" customWidth="1"/>
    <col min="7162" max="7163" width="11.44140625" style="78"/>
    <col min="7164" max="7164" width="10.33203125" style="78" customWidth="1"/>
    <col min="7165" max="7165" width="9.5546875" style="78" customWidth="1"/>
    <col min="7166" max="7166" width="13.109375" style="78" customWidth="1"/>
    <col min="7167" max="7167" width="9.88671875" style="78" customWidth="1"/>
    <col min="7168" max="7168" width="9.109375" style="78" customWidth="1"/>
    <col min="7169" max="7170" width="13.88671875" style="78" customWidth="1"/>
    <col min="7171" max="7171" width="10.5546875" style="78" customWidth="1"/>
    <col min="7172" max="7172" width="15.109375" style="78" customWidth="1"/>
    <col min="7173" max="7173" width="20.44140625" style="78" customWidth="1"/>
    <col min="7174" max="7415" width="11.44140625" style="78"/>
    <col min="7416" max="7416" width="30.33203125" style="78" customWidth="1"/>
    <col min="7417" max="7417" width="10.44140625" style="78" customWidth="1"/>
    <col min="7418" max="7419" width="11.44140625" style="78"/>
    <col min="7420" max="7420" width="10.33203125" style="78" customWidth="1"/>
    <col min="7421" max="7421" width="9.5546875" style="78" customWidth="1"/>
    <col min="7422" max="7422" width="13.109375" style="78" customWidth="1"/>
    <col min="7423" max="7423" width="9.88671875" style="78" customWidth="1"/>
    <col min="7424" max="7424" width="9.109375" style="78" customWidth="1"/>
    <col min="7425" max="7426" width="13.88671875" style="78" customWidth="1"/>
    <col min="7427" max="7427" width="10.5546875" style="78" customWidth="1"/>
    <col min="7428" max="7428" width="15.109375" style="78" customWidth="1"/>
    <col min="7429" max="7429" width="20.44140625" style="78" customWidth="1"/>
    <col min="7430" max="7671" width="11.44140625" style="78"/>
    <col min="7672" max="7672" width="30.33203125" style="78" customWidth="1"/>
    <col min="7673" max="7673" width="10.44140625" style="78" customWidth="1"/>
    <col min="7674" max="7675" width="11.44140625" style="78"/>
    <col min="7676" max="7676" width="10.33203125" style="78" customWidth="1"/>
    <col min="7677" max="7677" width="9.5546875" style="78" customWidth="1"/>
    <col min="7678" max="7678" width="13.109375" style="78" customWidth="1"/>
    <col min="7679" max="7679" width="9.88671875" style="78" customWidth="1"/>
    <col min="7680" max="7680" width="9.109375" style="78" customWidth="1"/>
    <col min="7681" max="7682" width="13.88671875" style="78" customWidth="1"/>
    <col min="7683" max="7683" width="10.5546875" style="78" customWidth="1"/>
    <col min="7684" max="7684" width="15.109375" style="78" customWidth="1"/>
    <col min="7685" max="7685" width="20.44140625" style="78" customWidth="1"/>
    <col min="7686" max="7927" width="11.44140625" style="78"/>
    <col min="7928" max="7928" width="30.33203125" style="78" customWidth="1"/>
    <col min="7929" max="7929" width="10.44140625" style="78" customWidth="1"/>
    <col min="7930" max="7931" width="11.44140625" style="78"/>
    <col min="7932" max="7932" width="10.33203125" style="78" customWidth="1"/>
    <col min="7933" max="7933" width="9.5546875" style="78" customWidth="1"/>
    <col min="7934" max="7934" width="13.109375" style="78" customWidth="1"/>
    <col min="7935" max="7935" width="9.88671875" style="78" customWidth="1"/>
    <col min="7936" max="7936" width="9.109375" style="78" customWidth="1"/>
    <col min="7937" max="7938" width="13.88671875" style="78" customWidth="1"/>
    <col min="7939" max="7939" width="10.5546875" style="78" customWidth="1"/>
    <col min="7940" max="7940" width="15.109375" style="78" customWidth="1"/>
    <col min="7941" max="7941" width="20.44140625" style="78" customWidth="1"/>
    <col min="7942" max="8183" width="11.44140625" style="78"/>
    <col min="8184" max="8184" width="30.33203125" style="78" customWidth="1"/>
    <col min="8185" max="8185" width="10.44140625" style="78" customWidth="1"/>
    <col min="8186" max="8187" width="11.44140625" style="78"/>
    <col min="8188" max="8188" width="10.33203125" style="78" customWidth="1"/>
    <col min="8189" max="8189" width="9.5546875" style="78" customWidth="1"/>
    <col min="8190" max="8190" width="13.109375" style="78" customWidth="1"/>
    <col min="8191" max="8191" width="9.88671875" style="78" customWidth="1"/>
    <col min="8192" max="8192" width="9.109375" style="78" customWidth="1"/>
    <col min="8193" max="8194" width="13.88671875" style="78" customWidth="1"/>
    <col min="8195" max="8195" width="10.5546875" style="78" customWidth="1"/>
    <col min="8196" max="8196" width="15.109375" style="78" customWidth="1"/>
    <col min="8197" max="8197" width="20.44140625" style="78" customWidth="1"/>
    <col min="8198" max="8439" width="11.44140625" style="78"/>
    <col min="8440" max="8440" width="30.33203125" style="78" customWidth="1"/>
    <col min="8441" max="8441" width="10.44140625" style="78" customWidth="1"/>
    <col min="8442" max="8443" width="11.44140625" style="78"/>
    <col min="8444" max="8444" width="10.33203125" style="78" customWidth="1"/>
    <col min="8445" max="8445" width="9.5546875" style="78" customWidth="1"/>
    <col min="8446" max="8446" width="13.109375" style="78" customWidth="1"/>
    <col min="8447" max="8447" width="9.88671875" style="78" customWidth="1"/>
    <col min="8448" max="8448" width="9.109375" style="78" customWidth="1"/>
    <col min="8449" max="8450" width="13.88671875" style="78" customWidth="1"/>
    <col min="8451" max="8451" width="10.5546875" style="78" customWidth="1"/>
    <col min="8452" max="8452" width="15.109375" style="78" customWidth="1"/>
    <col min="8453" max="8453" width="20.44140625" style="78" customWidth="1"/>
    <col min="8454" max="8695" width="11.44140625" style="78"/>
    <col min="8696" max="8696" width="30.33203125" style="78" customWidth="1"/>
    <col min="8697" max="8697" width="10.44140625" style="78" customWidth="1"/>
    <col min="8698" max="8699" width="11.44140625" style="78"/>
    <col min="8700" max="8700" width="10.33203125" style="78" customWidth="1"/>
    <col min="8701" max="8701" width="9.5546875" style="78" customWidth="1"/>
    <col min="8702" max="8702" width="13.109375" style="78" customWidth="1"/>
    <col min="8703" max="8703" width="9.88671875" style="78" customWidth="1"/>
    <col min="8704" max="8704" width="9.109375" style="78" customWidth="1"/>
    <col min="8705" max="8706" width="13.88671875" style="78" customWidth="1"/>
    <col min="8707" max="8707" width="10.5546875" style="78" customWidth="1"/>
    <col min="8708" max="8708" width="15.109375" style="78" customWidth="1"/>
    <col min="8709" max="8709" width="20.44140625" style="78" customWidth="1"/>
    <col min="8710" max="8951" width="11.44140625" style="78"/>
    <col min="8952" max="8952" width="30.33203125" style="78" customWidth="1"/>
    <col min="8953" max="8953" width="10.44140625" style="78" customWidth="1"/>
    <col min="8954" max="8955" width="11.44140625" style="78"/>
    <col min="8956" max="8956" width="10.33203125" style="78" customWidth="1"/>
    <col min="8957" max="8957" width="9.5546875" style="78" customWidth="1"/>
    <col min="8958" max="8958" width="13.109375" style="78" customWidth="1"/>
    <col min="8959" max="8959" width="9.88671875" style="78" customWidth="1"/>
    <col min="8960" max="8960" width="9.109375" style="78" customWidth="1"/>
    <col min="8961" max="8962" width="13.88671875" style="78" customWidth="1"/>
    <col min="8963" max="8963" width="10.5546875" style="78" customWidth="1"/>
    <col min="8964" max="8964" width="15.109375" style="78" customWidth="1"/>
    <col min="8965" max="8965" width="20.44140625" style="78" customWidth="1"/>
    <col min="8966" max="9207" width="11.44140625" style="78"/>
    <col min="9208" max="9208" width="30.33203125" style="78" customWidth="1"/>
    <col min="9209" max="9209" width="10.44140625" style="78" customWidth="1"/>
    <col min="9210" max="9211" width="11.44140625" style="78"/>
    <col min="9212" max="9212" width="10.33203125" style="78" customWidth="1"/>
    <col min="9213" max="9213" width="9.5546875" style="78" customWidth="1"/>
    <col min="9214" max="9214" width="13.109375" style="78" customWidth="1"/>
    <col min="9215" max="9215" width="9.88671875" style="78" customWidth="1"/>
    <col min="9216" max="9216" width="9.109375" style="78" customWidth="1"/>
    <col min="9217" max="9218" width="13.88671875" style="78" customWidth="1"/>
    <col min="9219" max="9219" width="10.5546875" style="78" customWidth="1"/>
    <col min="9220" max="9220" width="15.109375" style="78" customWidth="1"/>
    <col min="9221" max="9221" width="20.44140625" style="78" customWidth="1"/>
    <col min="9222" max="9463" width="11.44140625" style="78"/>
    <col min="9464" max="9464" width="30.33203125" style="78" customWidth="1"/>
    <col min="9465" max="9465" width="10.44140625" style="78" customWidth="1"/>
    <col min="9466" max="9467" width="11.44140625" style="78"/>
    <col min="9468" max="9468" width="10.33203125" style="78" customWidth="1"/>
    <col min="9469" max="9469" width="9.5546875" style="78" customWidth="1"/>
    <col min="9470" max="9470" width="13.109375" style="78" customWidth="1"/>
    <col min="9471" max="9471" width="9.88671875" style="78" customWidth="1"/>
    <col min="9472" max="9472" width="9.109375" style="78" customWidth="1"/>
    <col min="9473" max="9474" width="13.88671875" style="78" customWidth="1"/>
    <col min="9475" max="9475" width="10.5546875" style="78" customWidth="1"/>
    <col min="9476" max="9476" width="15.109375" style="78" customWidth="1"/>
    <col min="9477" max="9477" width="20.44140625" style="78" customWidth="1"/>
    <col min="9478" max="9719" width="11.44140625" style="78"/>
    <col min="9720" max="9720" width="30.33203125" style="78" customWidth="1"/>
    <col min="9721" max="9721" width="10.44140625" style="78" customWidth="1"/>
    <col min="9722" max="9723" width="11.44140625" style="78"/>
    <col min="9724" max="9724" width="10.33203125" style="78" customWidth="1"/>
    <col min="9725" max="9725" width="9.5546875" style="78" customWidth="1"/>
    <col min="9726" max="9726" width="13.109375" style="78" customWidth="1"/>
    <col min="9727" max="9727" width="9.88671875" style="78" customWidth="1"/>
    <col min="9728" max="9728" width="9.109375" style="78" customWidth="1"/>
    <col min="9729" max="9730" width="13.88671875" style="78" customWidth="1"/>
    <col min="9731" max="9731" width="10.5546875" style="78" customWidth="1"/>
    <col min="9732" max="9732" width="15.109375" style="78" customWidth="1"/>
    <col min="9733" max="9733" width="20.44140625" style="78" customWidth="1"/>
    <col min="9734" max="9975" width="11.44140625" style="78"/>
    <col min="9976" max="9976" width="30.33203125" style="78" customWidth="1"/>
    <col min="9977" max="9977" width="10.44140625" style="78" customWidth="1"/>
    <col min="9978" max="9979" width="11.44140625" style="78"/>
    <col min="9980" max="9980" width="10.33203125" style="78" customWidth="1"/>
    <col min="9981" max="9981" width="9.5546875" style="78" customWidth="1"/>
    <col min="9982" max="9982" width="13.109375" style="78" customWidth="1"/>
    <col min="9983" max="9983" width="9.88671875" style="78" customWidth="1"/>
    <col min="9984" max="9984" width="9.109375" style="78" customWidth="1"/>
    <col min="9985" max="9986" width="13.88671875" style="78" customWidth="1"/>
    <col min="9987" max="9987" width="10.5546875" style="78" customWidth="1"/>
    <col min="9988" max="9988" width="15.109375" style="78" customWidth="1"/>
    <col min="9989" max="9989" width="20.44140625" style="78" customWidth="1"/>
    <col min="9990" max="10231" width="11.44140625" style="78"/>
    <col min="10232" max="10232" width="30.33203125" style="78" customWidth="1"/>
    <col min="10233" max="10233" width="10.44140625" style="78" customWidth="1"/>
    <col min="10234" max="10235" width="11.44140625" style="78"/>
    <col min="10236" max="10236" width="10.33203125" style="78" customWidth="1"/>
    <col min="10237" max="10237" width="9.5546875" style="78" customWidth="1"/>
    <col min="10238" max="10238" width="13.109375" style="78" customWidth="1"/>
    <col min="10239" max="10239" width="9.88671875" style="78" customWidth="1"/>
    <col min="10240" max="10240" width="9.109375" style="78" customWidth="1"/>
    <col min="10241" max="10242" width="13.88671875" style="78" customWidth="1"/>
    <col min="10243" max="10243" width="10.5546875" style="78" customWidth="1"/>
    <col min="10244" max="10244" width="15.109375" style="78" customWidth="1"/>
    <col min="10245" max="10245" width="20.44140625" style="78" customWidth="1"/>
    <col min="10246" max="10487" width="11.44140625" style="78"/>
    <col min="10488" max="10488" width="30.33203125" style="78" customWidth="1"/>
    <col min="10489" max="10489" width="10.44140625" style="78" customWidth="1"/>
    <col min="10490" max="10491" width="11.44140625" style="78"/>
    <col min="10492" max="10492" width="10.33203125" style="78" customWidth="1"/>
    <col min="10493" max="10493" width="9.5546875" style="78" customWidth="1"/>
    <col min="10494" max="10494" width="13.109375" style="78" customWidth="1"/>
    <col min="10495" max="10495" width="9.88671875" style="78" customWidth="1"/>
    <col min="10496" max="10496" width="9.109375" style="78" customWidth="1"/>
    <col min="10497" max="10498" width="13.88671875" style="78" customWidth="1"/>
    <col min="10499" max="10499" width="10.5546875" style="78" customWidth="1"/>
    <col min="10500" max="10500" width="15.109375" style="78" customWidth="1"/>
    <col min="10501" max="10501" width="20.44140625" style="78" customWidth="1"/>
    <col min="10502" max="10743" width="11.44140625" style="78"/>
    <col min="10744" max="10744" width="30.33203125" style="78" customWidth="1"/>
    <col min="10745" max="10745" width="10.44140625" style="78" customWidth="1"/>
    <col min="10746" max="10747" width="11.44140625" style="78"/>
    <col min="10748" max="10748" width="10.33203125" style="78" customWidth="1"/>
    <col min="10749" max="10749" width="9.5546875" style="78" customWidth="1"/>
    <col min="10750" max="10750" width="13.109375" style="78" customWidth="1"/>
    <col min="10751" max="10751" width="9.88671875" style="78" customWidth="1"/>
    <col min="10752" max="10752" width="9.109375" style="78" customWidth="1"/>
    <col min="10753" max="10754" width="13.88671875" style="78" customWidth="1"/>
    <col min="10755" max="10755" width="10.5546875" style="78" customWidth="1"/>
    <col min="10756" max="10756" width="15.109375" style="78" customWidth="1"/>
    <col min="10757" max="10757" width="20.44140625" style="78" customWidth="1"/>
    <col min="10758" max="10999" width="11.44140625" style="78"/>
    <col min="11000" max="11000" width="30.33203125" style="78" customWidth="1"/>
    <col min="11001" max="11001" width="10.44140625" style="78" customWidth="1"/>
    <col min="11002" max="11003" width="11.44140625" style="78"/>
    <col min="11004" max="11004" width="10.33203125" style="78" customWidth="1"/>
    <col min="11005" max="11005" width="9.5546875" style="78" customWidth="1"/>
    <col min="11006" max="11006" width="13.109375" style="78" customWidth="1"/>
    <col min="11007" max="11007" width="9.88671875" style="78" customWidth="1"/>
    <col min="11008" max="11008" width="9.109375" style="78" customWidth="1"/>
    <col min="11009" max="11010" width="13.88671875" style="78" customWidth="1"/>
    <col min="11011" max="11011" width="10.5546875" style="78" customWidth="1"/>
    <col min="11012" max="11012" width="15.109375" style="78" customWidth="1"/>
    <col min="11013" max="11013" width="20.44140625" style="78" customWidth="1"/>
    <col min="11014" max="11255" width="11.44140625" style="78"/>
    <col min="11256" max="11256" width="30.33203125" style="78" customWidth="1"/>
    <col min="11257" max="11257" width="10.44140625" style="78" customWidth="1"/>
    <col min="11258" max="11259" width="11.44140625" style="78"/>
    <col min="11260" max="11260" width="10.33203125" style="78" customWidth="1"/>
    <col min="11261" max="11261" width="9.5546875" style="78" customWidth="1"/>
    <col min="11262" max="11262" width="13.109375" style="78" customWidth="1"/>
    <col min="11263" max="11263" width="9.88671875" style="78" customWidth="1"/>
    <col min="11264" max="11264" width="9.109375" style="78" customWidth="1"/>
    <col min="11265" max="11266" width="13.88671875" style="78" customWidth="1"/>
    <col min="11267" max="11267" width="10.5546875" style="78" customWidth="1"/>
    <col min="11268" max="11268" width="15.109375" style="78" customWidth="1"/>
    <col min="11269" max="11269" width="20.44140625" style="78" customWidth="1"/>
    <col min="11270" max="11511" width="11.44140625" style="78"/>
    <col min="11512" max="11512" width="30.33203125" style="78" customWidth="1"/>
    <col min="11513" max="11513" width="10.44140625" style="78" customWidth="1"/>
    <col min="11514" max="11515" width="11.44140625" style="78"/>
    <col min="11516" max="11516" width="10.33203125" style="78" customWidth="1"/>
    <col min="11517" max="11517" width="9.5546875" style="78" customWidth="1"/>
    <col min="11518" max="11518" width="13.109375" style="78" customWidth="1"/>
    <col min="11519" max="11519" width="9.88671875" style="78" customWidth="1"/>
    <col min="11520" max="11520" width="9.109375" style="78" customWidth="1"/>
    <col min="11521" max="11522" width="13.88671875" style="78" customWidth="1"/>
    <col min="11523" max="11523" width="10.5546875" style="78" customWidth="1"/>
    <col min="11524" max="11524" width="15.109375" style="78" customWidth="1"/>
    <col min="11525" max="11525" width="20.44140625" style="78" customWidth="1"/>
    <col min="11526" max="11767" width="11.44140625" style="78"/>
    <col min="11768" max="11768" width="30.33203125" style="78" customWidth="1"/>
    <col min="11769" max="11769" width="10.44140625" style="78" customWidth="1"/>
    <col min="11770" max="11771" width="11.44140625" style="78"/>
    <col min="11772" max="11772" width="10.33203125" style="78" customWidth="1"/>
    <col min="11773" max="11773" width="9.5546875" style="78" customWidth="1"/>
    <col min="11774" max="11774" width="13.109375" style="78" customWidth="1"/>
    <col min="11775" max="11775" width="9.88671875" style="78" customWidth="1"/>
    <col min="11776" max="11776" width="9.109375" style="78" customWidth="1"/>
    <col min="11777" max="11778" width="13.88671875" style="78" customWidth="1"/>
    <col min="11779" max="11779" width="10.5546875" style="78" customWidth="1"/>
    <col min="11780" max="11780" width="15.109375" style="78" customWidth="1"/>
    <col min="11781" max="11781" width="20.44140625" style="78" customWidth="1"/>
    <col min="11782" max="12023" width="11.44140625" style="78"/>
    <col min="12024" max="12024" width="30.33203125" style="78" customWidth="1"/>
    <col min="12025" max="12025" width="10.44140625" style="78" customWidth="1"/>
    <col min="12026" max="12027" width="11.44140625" style="78"/>
    <col min="12028" max="12028" width="10.33203125" style="78" customWidth="1"/>
    <col min="12029" max="12029" width="9.5546875" style="78" customWidth="1"/>
    <col min="12030" max="12030" width="13.109375" style="78" customWidth="1"/>
    <col min="12031" max="12031" width="9.88671875" style="78" customWidth="1"/>
    <col min="12032" max="12032" width="9.109375" style="78" customWidth="1"/>
    <col min="12033" max="12034" width="13.88671875" style="78" customWidth="1"/>
    <col min="12035" max="12035" width="10.5546875" style="78" customWidth="1"/>
    <col min="12036" max="12036" width="15.109375" style="78" customWidth="1"/>
    <col min="12037" max="12037" width="20.44140625" style="78" customWidth="1"/>
    <col min="12038" max="12279" width="11.44140625" style="78"/>
    <col min="12280" max="12280" width="30.33203125" style="78" customWidth="1"/>
    <col min="12281" max="12281" width="10.44140625" style="78" customWidth="1"/>
    <col min="12282" max="12283" width="11.44140625" style="78"/>
    <col min="12284" max="12284" width="10.33203125" style="78" customWidth="1"/>
    <col min="12285" max="12285" width="9.5546875" style="78" customWidth="1"/>
    <col min="12286" max="12286" width="13.109375" style="78" customWidth="1"/>
    <col min="12287" max="12287" width="9.88671875" style="78" customWidth="1"/>
    <col min="12288" max="12288" width="9.109375" style="78" customWidth="1"/>
    <col min="12289" max="12290" width="13.88671875" style="78" customWidth="1"/>
    <col min="12291" max="12291" width="10.5546875" style="78" customWidth="1"/>
    <col min="12292" max="12292" width="15.109375" style="78" customWidth="1"/>
    <col min="12293" max="12293" width="20.44140625" style="78" customWidth="1"/>
    <col min="12294" max="12535" width="11.44140625" style="78"/>
    <col min="12536" max="12536" width="30.33203125" style="78" customWidth="1"/>
    <col min="12537" max="12537" width="10.44140625" style="78" customWidth="1"/>
    <col min="12538" max="12539" width="11.44140625" style="78"/>
    <col min="12540" max="12540" width="10.33203125" style="78" customWidth="1"/>
    <col min="12541" max="12541" width="9.5546875" style="78" customWidth="1"/>
    <col min="12542" max="12542" width="13.109375" style="78" customWidth="1"/>
    <col min="12543" max="12543" width="9.88671875" style="78" customWidth="1"/>
    <col min="12544" max="12544" width="9.109375" style="78" customWidth="1"/>
    <col min="12545" max="12546" width="13.88671875" style="78" customWidth="1"/>
    <col min="12547" max="12547" width="10.5546875" style="78" customWidth="1"/>
    <col min="12548" max="12548" width="15.109375" style="78" customWidth="1"/>
    <col min="12549" max="12549" width="20.44140625" style="78" customWidth="1"/>
    <col min="12550" max="12791" width="11.44140625" style="78"/>
    <col min="12792" max="12792" width="30.33203125" style="78" customWidth="1"/>
    <col min="12793" max="12793" width="10.44140625" style="78" customWidth="1"/>
    <col min="12794" max="12795" width="11.44140625" style="78"/>
    <col min="12796" max="12796" width="10.33203125" style="78" customWidth="1"/>
    <col min="12797" max="12797" width="9.5546875" style="78" customWidth="1"/>
    <col min="12798" max="12798" width="13.109375" style="78" customWidth="1"/>
    <col min="12799" max="12799" width="9.88671875" style="78" customWidth="1"/>
    <col min="12800" max="12800" width="9.109375" style="78" customWidth="1"/>
    <col min="12801" max="12802" width="13.88671875" style="78" customWidth="1"/>
    <col min="12803" max="12803" width="10.5546875" style="78" customWidth="1"/>
    <col min="12804" max="12804" width="15.109375" style="78" customWidth="1"/>
    <col min="12805" max="12805" width="20.44140625" style="78" customWidth="1"/>
    <col min="12806" max="13047" width="11.44140625" style="78"/>
    <col min="13048" max="13048" width="30.33203125" style="78" customWidth="1"/>
    <col min="13049" max="13049" width="10.44140625" style="78" customWidth="1"/>
    <col min="13050" max="13051" width="11.44140625" style="78"/>
    <col min="13052" max="13052" width="10.33203125" style="78" customWidth="1"/>
    <col min="13053" max="13053" width="9.5546875" style="78" customWidth="1"/>
    <col min="13054" max="13054" width="13.109375" style="78" customWidth="1"/>
    <col min="13055" max="13055" width="9.88671875" style="78" customWidth="1"/>
    <col min="13056" max="13056" width="9.109375" style="78" customWidth="1"/>
    <col min="13057" max="13058" width="13.88671875" style="78" customWidth="1"/>
    <col min="13059" max="13059" width="10.5546875" style="78" customWidth="1"/>
    <col min="13060" max="13060" width="15.109375" style="78" customWidth="1"/>
    <col min="13061" max="13061" width="20.44140625" style="78" customWidth="1"/>
    <col min="13062" max="13303" width="11.44140625" style="78"/>
    <col min="13304" max="13304" width="30.33203125" style="78" customWidth="1"/>
    <col min="13305" max="13305" width="10.44140625" style="78" customWidth="1"/>
    <col min="13306" max="13307" width="11.44140625" style="78"/>
    <col min="13308" max="13308" width="10.33203125" style="78" customWidth="1"/>
    <col min="13309" max="13309" width="9.5546875" style="78" customWidth="1"/>
    <col min="13310" max="13310" width="13.109375" style="78" customWidth="1"/>
    <col min="13311" max="13311" width="9.88671875" style="78" customWidth="1"/>
    <col min="13312" max="13312" width="9.109375" style="78" customWidth="1"/>
    <col min="13313" max="13314" width="13.88671875" style="78" customWidth="1"/>
    <col min="13315" max="13315" width="10.5546875" style="78" customWidth="1"/>
    <col min="13316" max="13316" width="15.109375" style="78" customWidth="1"/>
    <col min="13317" max="13317" width="20.44140625" style="78" customWidth="1"/>
    <col min="13318" max="13559" width="11.44140625" style="78"/>
    <col min="13560" max="13560" width="30.33203125" style="78" customWidth="1"/>
    <col min="13561" max="13561" width="10.44140625" style="78" customWidth="1"/>
    <col min="13562" max="13563" width="11.44140625" style="78"/>
    <col min="13564" max="13564" width="10.33203125" style="78" customWidth="1"/>
    <col min="13565" max="13565" width="9.5546875" style="78" customWidth="1"/>
    <col min="13566" max="13566" width="13.109375" style="78" customWidth="1"/>
    <col min="13567" max="13567" width="9.88671875" style="78" customWidth="1"/>
    <col min="13568" max="13568" width="9.109375" style="78" customWidth="1"/>
    <col min="13569" max="13570" width="13.88671875" style="78" customWidth="1"/>
    <col min="13571" max="13571" width="10.5546875" style="78" customWidth="1"/>
    <col min="13572" max="13572" width="15.109375" style="78" customWidth="1"/>
    <col min="13573" max="13573" width="20.44140625" style="78" customWidth="1"/>
    <col min="13574" max="13815" width="11.44140625" style="78"/>
    <col min="13816" max="13816" width="30.33203125" style="78" customWidth="1"/>
    <col min="13817" max="13817" width="10.44140625" style="78" customWidth="1"/>
    <col min="13818" max="13819" width="11.44140625" style="78"/>
    <col min="13820" max="13820" width="10.33203125" style="78" customWidth="1"/>
    <col min="13821" max="13821" width="9.5546875" style="78" customWidth="1"/>
    <col min="13822" max="13822" width="13.109375" style="78" customWidth="1"/>
    <col min="13823" max="13823" width="9.88671875" style="78" customWidth="1"/>
    <col min="13824" max="13824" width="9.109375" style="78" customWidth="1"/>
    <col min="13825" max="13826" width="13.88671875" style="78" customWidth="1"/>
    <col min="13827" max="13827" width="10.5546875" style="78" customWidth="1"/>
    <col min="13828" max="13828" width="15.109375" style="78" customWidth="1"/>
    <col min="13829" max="13829" width="20.44140625" style="78" customWidth="1"/>
    <col min="13830" max="14071" width="11.44140625" style="78"/>
    <col min="14072" max="14072" width="30.33203125" style="78" customWidth="1"/>
    <col min="14073" max="14073" width="10.44140625" style="78" customWidth="1"/>
    <col min="14074" max="14075" width="11.44140625" style="78"/>
    <col min="14076" max="14076" width="10.33203125" style="78" customWidth="1"/>
    <col min="14077" max="14077" width="9.5546875" style="78" customWidth="1"/>
    <col min="14078" max="14078" width="13.109375" style="78" customWidth="1"/>
    <col min="14079" max="14079" width="9.88671875" style="78" customWidth="1"/>
    <col min="14080" max="14080" width="9.109375" style="78" customWidth="1"/>
    <col min="14081" max="14082" width="13.88671875" style="78" customWidth="1"/>
    <col min="14083" max="14083" width="10.5546875" style="78" customWidth="1"/>
    <col min="14084" max="14084" width="15.109375" style="78" customWidth="1"/>
    <col min="14085" max="14085" width="20.44140625" style="78" customWidth="1"/>
    <col min="14086" max="14327" width="11.44140625" style="78"/>
    <col min="14328" max="14328" width="30.33203125" style="78" customWidth="1"/>
    <col min="14329" max="14329" width="10.44140625" style="78" customWidth="1"/>
    <col min="14330" max="14331" width="11.44140625" style="78"/>
    <col min="14332" max="14332" width="10.33203125" style="78" customWidth="1"/>
    <col min="14333" max="14333" width="9.5546875" style="78" customWidth="1"/>
    <col min="14334" max="14334" width="13.109375" style="78" customWidth="1"/>
    <col min="14335" max="14335" width="9.88671875" style="78" customWidth="1"/>
    <col min="14336" max="14336" width="9.109375" style="78" customWidth="1"/>
    <col min="14337" max="14338" width="13.88671875" style="78" customWidth="1"/>
    <col min="14339" max="14339" width="10.5546875" style="78" customWidth="1"/>
    <col min="14340" max="14340" width="15.109375" style="78" customWidth="1"/>
    <col min="14341" max="14341" width="20.44140625" style="78" customWidth="1"/>
    <col min="14342" max="14583" width="11.44140625" style="78"/>
    <col min="14584" max="14584" width="30.33203125" style="78" customWidth="1"/>
    <col min="14585" max="14585" width="10.44140625" style="78" customWidth="1"/>
    <col min="14586" max="14587" width="11.44140625" style="78"/>
    <col min="14588" max="14588" width="10.33203125" style="78" customWidth="1"/>
    <col min="14589" max="14589" width="9.5546875" style="78" customWidth="1"/>
    <col min="14590" max="14590" width="13.109375" style="78" customWidth="1"/>
    <col min="14591" max="14591" width="9.88671875" style="78" customWidth="1"/>
    <col min="14592" max="14592" width="9.109375" style="78" customWidth="1"/>
    <col min="14593" max="14594" width="13.88671875" style="78" customWidth="1"/>
    <col min="14595" max="14595" width="10.5546875" style="78" customWidth="1"/>
    <col min="14596" max="14596" width="15.109375" style="78" customWidth="1"/>
    <col min="14597" max="14597" width="20.44140625" style="78" customWidth="1"/>
    <col min="14598" max="14839" width="11.44140625" style="78"/>
    <col min="14840" max="14840" width="30.33203125" style="78" customWidth="1"/>
    <col min="14841" max="14841" width="10.44140625" style="78" customWidth="1"/>
    <col min="14842" max="14843" width="11.44140625" style="78"/>
    <col min="14844" max="14844" width="10.33203125" style="78" customWidth="1"/>
    <col min="14845" max="14845" width="9.5546875" style="78" customWidth="1"/>
    <col min="14846" max="14846" width="13.109375" style="78" customWidth="1"/>
    <col min="14847" max="14847" width="9.88671875" style="78" customWidth="1"/>
    <col min="14848" max="14848" width="9.109375" style="78" customWidth="1"/>
    <col min="14849" max="14850" width="13.88671875" style="78" customWidth="1"/>
    <col min="14851" max="14851" width="10.5546875" style="78" customWidth="1"/>
    <col min="14852" max="14852" width="15.109375" style="78" customWidth="1"/>
    <col min="14853" max="14853" width="20.44140625" style="78" customWidth="1"/>
    <col min="14854" max="15095" width="11.44140625" style="78"/>
    <col min="15096" max="15096" width="30.33203125" style="78" customWidth="1"/>
    <col min="15097" max="15097" width="10.44140625" style="78" customWidth="1"/>
    <col min="15098" max="15099" width="11.44140625" style="78"/>
    <col min="15100" max="15100" width="10.33203125" style="78" customWidth="1"/>
    <col min="15101" max="15101" width="9.5546875" style="78" customWidth="1"/>
    <col min="15102" max="15102" width="13.109375" style="78" customWidth="1"/>
    <col min="15103" max="15103" width="9.88671875" style="78" customWidth="1"/>
    <col min="15104" max="15104" width="9.109375" style="78" customWidth="1"/>
    <col min="15105" max="15106" width="13.88671875" style="78" customWidth="1"/>
    <col min="15107" max="15107" width="10.5546875" style="78" customWidth="1"/>
    <col min="15108" max="15108" width="15.109375" style="78" customWidth="1"/>
    <col min="15109" max="15109" width="20.44140625" style="78" customWidth="1"/>
    <col min="15110" max="15351" width="11.44140625" style="78"/>
    <col min="15352" max="15352" width="30.33203125" style="78" customWidth="1"/>
    <col min="15353" max="15353" width="10.44140625" style="78" customWidth="1"/>
    <col min="15354" max="15355" width="11.44140625" style="78"/>
    <col min="15356" max="15356" width="10.33203125" style="78" customWidth="1"/>
    <col min="15357" max="15357" width="9.5546875" style="78" customWidth="1"/>
    <col min="15358" max="15358" width="13.109375" style="78" customWidth="1"/>
    <col min="15359" max="15359" width="9.88671875" style="78" customWidth="1"/>
    <col min="15360" max="15360" width="9.109375" style="78" customWidth="1"/>
    <col min="15361" max="15362" width="13.88671875" style="78" customWidth="1"/>
    <col min="15363" max="15363" width="10.5546875" style="78" customWidth="1"/>
    <col min="15364" max="15364" width="15.109375" style="78" customWidth="1"/>
    <col min="15365" max="15365" width="20.44140625" style="78" customWidth="1"/>
    <col min="15366" max="15607" width="11.44140625" style="78"/>
    <col min="15608" max="15608" width="30.33203125" style="78" customWidth="1"/>
    <col min="15609" max="15609" width="10.44140625" style="78" customWidth="1"/>
    <col min="15610" max="15611" width="11.44140625" style="78"/>
    <col min="15612" max="15612" width="10.33203125" style="78" customWidth="1"/>
    <col min="15613" max="15613" width="9.5546875" style="78" customWidth="1"/>
    <col min="15614" max="15614" width="13.109375" style="78" customWidth="1"/>
    <col min="15615" max="15615" width="9.88671875" style="78" customWidth="1"/>
    <col min="15616" max="15616" width="9.109375" style="78" customWidth="1"/>
    <col min="15617" max="15618" width="13.88671875" style="78" customWidth="1"/>
    <col min="15619" max="15619" width="10.5546875" style="78" customWidth="1"/>
    <col min="15620" max="15620" width="15.109375" style="78" customWidth="1"/>
    <col min="15621" max="15621" width="20.44140625" style="78" customWidth="1"/>
    <col min="15622" max="15863" width="11.44140625" style="78"/>
    <col min="15864" max="15864" width="30.33203125" style="78" customWidth="1"/>
    <col min="15865" max="15865" width="10.44140625" style="78" customWidth="1"/>
    <col min="15866" max="15867" width="11.44140625" style="78"/>
    <col min="15868" max="15868" width="10.33203125" style="78" customWidth="1"/>
    <col min="15869" max="15869" width="9.5546875" style="78" customWidth="1"/>
    <col min="15870" max="15870" width="13.109375" style="78" customWidth="1"/>
    <col min="15871" max="15871" width="9.88671875" style="78" customWidth="1"/>
    <col min="15872" max="15872" width="9.109375" style="78" customWidth="1"/>
    <col min="15873" max="15874" width="13.88671875" style="78" customWidth="1"/>
    <col min="15875" max="15875" width="10.5546875" style="78" customWidth="1"/>
    <col min="15876" max="15876" width="15.109375" style="78" customWidth="1"/>
    <col min="15877" max="15877" width="20.44140625" style="78" customWidth="1"/>
    <col min="15878" max="16119" width="11.44140625" style="78"/>
    <col min="16120" max="16120" width="30.33203125" style="78" customWidth="1"/>
    <col min="16121" max="16121" width="10.44140625" style="78" customWidth="1"/>
    <col min="16122" max="16123" width="11.44140625" style="78"/>
    <col min="16124" max="16124" width="10.33203125" style="78" customWidth="1"/>
    <col min="16125" max="16125" width="9.5546875" style="78" customWidth="1"/>
    <col min="16126" max="16126" width="13.109375" style="78" customWidth="1"/>
    <col min="16127" max="16127" width="9.88671875" style="78" customWidth="1"/>
    <col min="16128" max="16128" width="9.109375" style="78" customWidth="1"/>
    <col min="16129" max="16130" width="13.88671875" style="78" customWidth="1"/>
    <col min="16131" max="16131" width="10.5546875" style="78" customWidth="1"/>
    <col min="16132" max="16132" width="15.109375" style="78" customWidth="1"/>
    <col min="16133" max="16133" width="20.44140625" style="78" customWidth="1"/>
    <col min="16134" max="16384" width="11.44140625" style="78"/>
  </cols>
  <sheetData>
    <row r="1" spans="2:13" ht="15" thickBot="1" x14ac:dyDescent="0.35"/>
    <row r="2" spans="2:13" ht="26.4" customHeight="1" thickBot="1" x14ac:dyDescent="0.35">
      <c r="C2" s="161" t="s">
        <v>36</v>
      </c>
      <c r="D2" s="171"/>
      <c r="E2" s="162"/>
      <c r="F2" s="162"/>
      <c r="G2" s="162"/>
      <c r="H2" s="162"/>
      <c r="I2" s="162"/>
    </row>
    <row r="3" spans="2:13" ht="15" thickBot="1" x14ac:dyDescent="0.35">
      <c r="B3" s="81"/>
      <c r="C3" s="82"/>
      <c r="D3" s="82"/>
    </row>
    <row r="4" spans="2:13" ht="15" thickBot="1" x14ac:dyDescent="0.35">
      <c r="B4" s="81"/>
      <c r="H4" s="155"/>
      <c r="I4" s="156"/>
    </row>
    <row r="5" spans="2:13" ht="28.8" x14ac:dyDescent="0.3">
      <c r="B5" s="94" t="s">
        <v>12</v>
      </c>
      <c r="C5" s="94" t="s">
        <v>9</v>
      </c>
      <c r="D5" s="94" t="s">
        <v>39</v>
      </c>
      <c r="E5" s="95" t="s">
        <v>37</v>
      </c>
      <c r="F5" s="94" t="s">
        <v>0</v>
      </c>
      <c r="G5" s="94" t="s">
        <v>1</v>
      </c>
      <c r="H5" s="96" t="s">
        <v>38</v>
      </c>
      <c r="I5" s="97" t="s">
        <v>5</v>
      </c>
      <c r="K5" s="135" t="s">
        <v>39</v>
      </c>
      <c r="L5" s="135" t="s">
        <v>5</v>
      </c>
      <c r="M5" s="131"/>
    </row>
    <row r="6" spans="2:13" s="87" customFormat="1" x14ac:dyDescent="0.3">
      <c r="B6" s="83"/>
      <c r="C6" s="138"/>
      <c r="D6" s="132"/>
      <c r="E6" s="129" t="e">
        <f>I6*H6</f>
        <v>#N/A</v>
      </c>
      <c r="F6" s="130">
        <v>46038</v>
      </c>
      <c r="G6" s="130">
        <v>46068</v>
      </c>
      <c r="H6" s="127"/>
      <c r="I6" s="85" t="e">
        <f>VLOOKUP(D6,$K$6:$L$7,2,FALSE)</f>
        <v>#N/A</v>
      </c>
      <c r="K6" s="133" t="s">
        <v>40</v>
      </c>
      <c r="L6" s="134">
        <v>16356</v>
      </c>
    </row>
    <row r="7" spans="2:13" s="87" customFormat="1" x14ac:dyDescent="0.3">
      <c r="B7" s="83"/>
      <c r="C7" s="83"/>
      <c r="D7" s="132"/>
      <c r="E7" s="129" t="e">
        <f t="shared" ref="E7:E69" si="0">I7*H7</f>
        <v>#N/A</v>
      </c>
      <c r="F7" s="83"/>
      <c r="G7" s="83"/>
      <c r="H7" s="83"/>
      <c r="I7" s="85" t="e">
        <f t="shared" ref="I7:I37" si="1">VLOOKUP(D7,$K$6:$L$7,2,FALSE)</f>
        <v>#N/A</v>
      </c>
      <c r="K7" s="132" t="s">
        <v>41</v>
      </c>
      <c r="L7" s="84">
        <v>4404</v>
      </c>
    </row>
    <row r="8" spans="2:13" s="87" customFormat="1" x14ac:dyDescent="0.3">
      <c r="B8" s="83"/>
      <c r="C8" s="83"/>
      <c r="D8" s="132"/>
      <c r="E8" s="129" t="e">
        <f t="shared" si="0"/>
        <v>#N/A</v>
      </c>
      <c r="F8" s="83"/>
      <c r="G8" s="83"/>
      <c r="H8" s="83"/>
      <c r="I8" s="85" t="e">
        <f t="shared" si="1"/>
        <v>#N/A</v>
      </c>
    </row>
    <row r="9" spans="2:13" s="87" customFormat="1" ht="15" customHeight="1" x14ac:dyDescent="0.3">
      <c r="B9" s="83"/>
      <c r="C9" s="83"/>
      <c r="D9" s="132"/>
      <c r="E9" s="129" t="e">
        <f t="shared" si="0"/>
        <v>#N/A</v>
      </c>
      <c r="F9" s="83"/>
      <c r="G9" s="83"/>
      <c r="H9" s="83"/>
      <c r="I9" s="85" t="e">
        <f t="shared" si="1"/>
        <v>#N/A</v>
      </c>
      <c r="K9" s="170" t="s">
        <v>42</v>
      </c>
      <c r="L9" s="170"/>
      <c r="M9" s="170"/>
    </row>
    <row r="10" spans="2:13" s="87" customFormat="1" x14ac:dyDescent="0.3">
      <c r="B10" s="83"/>
      <c r="C10" s="83"/>
      <c r="D10" s="132"/>
      <c r="E10" s="129" t="e">
        <f t="shared" si="0"/>
        <v>#N/A</v>
      </c>
      <c r="F10" s="83"/>
      <c r="G10" s="83"/>
      <c r="H10" s="83"/>
      <c r="I10" s="85" t="e">
        <f t="shared" si="1"/>
        <v>#N/A</v>
      </c>
      <c r="K10" s="170"/>
      <c r="L10" s="170"/>
      <c r="M10" s="170"/>
    </row>
    <row r="11" spans="2:13" s="87" customFormat="1" x14ac:dyDescent="0.3">
      <c r="B11" s="83"/>
      <c r="C11" s="83"/>
      <c r="D11" s="132"/>
      <c r="E11" s="129" t="e">
        <f t="shared" si="0"/>
        <v>#N/A</v>
      </c>
      <c r="F11" s="83"/>
      <c r="G11" s="83"/>
      <c r="H11" s="83"/>
      <c r="I11" s="85" t="e">
        <f t="shared" si="1"/>
        <v>#N/A</v>
      </c>
      <c r="K11" s="170"/>
      <c r="L11" s="170"/>
      <c r="M11" s="170"/>
    </row>
    <row r="12" spans="2:13" s="87" customFormat="1" x14ac:dyDescent="0.3">
      <c r="B12" s="83"/>
      <c r="C12" s="83"/>
      <c r="D12" s="132"/>
      <c r="E12" s="129" t="e">
        <f t="shared" si="0"/>
        <v>#N/A</v>
      </c>
      <c r="F12" s="83"/>
      <c r="G12" s="83"/>
      <c r="H12" s="83"/>
      <c r="I12" s="85" t="e">
        <f t="shared" si="1"/>
        <v>#N/A</v>
      </c>
      <c r="K12" s="170"/>
      <c r="L12" s="170"/>
      <c r="M12" s="170"/>
    </row>
    <row r="13" spans="2:13" s="87" customFormat="1" x14ac:dyDescent="0.3">
      <c r="B13" s="83"/>
      <c r="C13" s="83"/>
      <c r="D13" s="132"/>
      <c r="E13" s="129" t="e">
        <f t="shared" si="0"/>
        <v>#N/A</v>
      </c>
      <c r="F13" s="83"/>
      <c r="G13" s="83"/>
      <c r="H13" s="83"/>
      <c r="I13" s="85" t="e">
        <f t="shared" si="1"/>
        <v>#N/A</v>
      </c>
      <c r="K13" s="170"/>
      <c r="L13" s="170"/>
      <c r="M13" s="170"/>
    </row>
    <row r="14" spans="2:13" s="87" customFormat="1" x14ac:dyDescent="0.3">
      <c r="B14" s="83"/>
      <c r="C14" s="83"/>
      <c r="D14" s="132"/>
      <c r="E14" s="129" t="e">
        <f t="shared" si="0"/>
        <v>#N/A</v>
      </c>
      <c r="F14" s="83"/>
      <c r="G14" s="83"/>
      <c r="H14" s="83"/>
      <c r="I14" s="85" t="e">
        <f t="shared" si="1"/>
        <v>#N/A</v>
      </c>
    </row>
    <row r="15" spans="2:13" s="87" customFormat="1" x14ac:dyDescent="0.3">
      <c r="B15" s="83"/>
      <c r="C15" s="83"/>
      <c r="D15" s="132"/>
      <c r="E15" s="129" t="e">
        <f t="shared" si="0"/>
        <v>#N/A</v>
      </c>
      <c r="F15" s="83"/>
      <c r="G15" s="83"/>
      <c r="H15" s="83"/>
      <c r="I15" s="85" t="e">
        <f t="shared" si="1"/>
        <v>#N/A</v>
      </c>
    </row>
    <row r="16" spans="2:13" s="87" customFormat="1" x14ac:dyDescent="0.3">
      <c r="B16" s="83"/>
      <c r="C16" s="83"/>
      <c r="D16" s="132"/>
      <c r="E16" s="129" t="e">
        <f t="shared" si="0"/>
        <v>#N/A</v>
      </c>
      <c r="F16" s="83"/>
      <c r="G16" s="83"/>
      <c r="H16" s="83"/>
      <c r="I16" s="85" t="e">
        <f t="shared" si="1"/>
        <v>#N/A</v>
      </c>
    </row>
    <row r="17" spans="2:9" s="87" customFormat="1" x14ac:dyDescent="0.3">
      <c r="B17" s="83"/>
      <c r="C17" s="83"/>
      <c r="D17" s="132"/>
      <c r="E17" s="129" t="e">
        <f t="shared" si="0"/>
        <v>#N/A</v>
      </c>
      <c r="F17" s="83"/>
      <c r="G17" s="83"/>
      <c r="H17" s="83"/>
      <c r="I17" s="85" t="e">
        <f t="shared" si="1"/>
        <v>#N/A</v>
      </c>
    </row>
    <row r="18" spans="2:9" s="87" customFormat="1" x14ac:dyDescent="0.3">
      <c r="B18" s="83"/>
      <c r="C18" s="83"/>
      <c r="D18" s="132"/>
      <c r="E18" s="129" t="e">
        <f t="shared" si="0"/>
        <v>#N/A</v>
      </c>
      <c r="F18" s="83"/>
      <c r="G18" s="83"/>
      <c r="H18" s="83"/>
      <c r="I18" s="85" t="e">
        <f t="shared" si="1"/>
        <v>#N/A</v>
      </c>
    </row>
    <row r="19" spans="2:9" s="87" customFormat="1" x14ac:dyDescent="0.3">
      <c r="B19" s="83"/>
      <c r="C19" s="83"/>
      <c r="D19" s="132"/>
      <c r="E19" s="129" t="e">
        <f t="shared" si="0"/>
        <v>#N/A</v>
      </c>
      <c r="F19" s="83"/>
      <c r="G19" s="83"/>
      <c r="H19" s="83"/>
      <c r="I19" s="85" t="e">
        <f t="shared" si="1"/>
        <v>#N/A</v>
      </c>
    </row>
    <row r="20" spans="2:9" s="87" customFormat="1" x14ac:dyDescent="0.3">
      <c r="B20" s="83"/>
      <c r="C20" s="83"/>
      <c r="D20" s="132"/>
      <c r="E20" s="129" t="e">
        <f t="shared" si="0"/>
        <v>#N/A</v>
      </c>
      <c r="F20" s="83"/>
      <c r="G20" s="83"/>
      <c r="H20" s="83"/>
      <c r="I20" s="85" t="e">
        <f t="shared" si="1"/>
        <v>#N/A</v>
      </c>
    </row>
    <row r="21" spans="2:9" s="87" customFormat="1" x14ac:dyDescent="0.3">
      <c r="B21" s="83"/>
      <c r="C21" s="83"/>
      <c r="D21" s="132"/>
      <c r="E21" s="129" t="e">
        <f t="shared" si="0"/>
        <v>#N/A</v>
      </c>
      <c r="F21" s="83"/>
      <c r="G21" s="83"/>
      <c r="H21" s="83"/>
      <c r="I21" s="85" t="e">
        <f t="shared" si="1"/>
        <v>#N/A</v>
      </c>
    </row>
    <row r="22" spans="2:9" s="87" customFormat="1" x14ac:dyDescent="0.3">
      <c r="B22" s="83"/>
      <c r="C22" s="83"/>
      <c r="D22" s="132"/>
      <c r="E22" s="129" t="e">
        <f t="shared" si="0"/>
        <v>#N/A</v>
      </c>
      <c r="F22" s="83"/>
      <c r="G22" s="83"/>
      <c r="H22" s="83"/>
      <c r="I22" s="85" t="e">
        <f t="shared" si="1"/>
        <v>#N/A</v>
      </c>
    </row>
    <row r="23" spans="2:9" s="87" customFormat="1" x14ac:dyDescent="0.3">
      <c r="B23" s="83"/>
      <c r="C23" s="83"/>
      <c r="D23" s="132"/>
      <c r="E23" s="129" t="e">
        <f t="shared" si="0"/>
        <v>#N/A</v>
      </c>
      <c r="F23" s="83"/>
      <c r="G23" s="83"/>
      <c r="H23" s="83"/>
      <c r="I23" s="85" t="e">
        <f t="shared" si="1"/>
        <v>#N/A</v>
      </c>
    </row>
    <row r="24" spans="2:9" s="87" customFormat="1" x14ac:dyDescent="0.3">
      <c r="B24" s="83"/>
      <c r="C24" s="83"/>
      <c r="D24" s="132"/>
      <c r="E24" s="129" t="e">
        <f t="shared" si="0"/>
        <v>#N/A</v>
      </c>
      <c r="F24" s="83"/>
      <c r="G24" s="83"/>
      <c r="H24" s="83"/>
      <c r="I24" s="85" t="e">
        <f t="shared" si="1"/>
        <v>#N/A</v>
      </c>
    </row>
    <row r="25" spans="2:9" s="87" customFormat="1" x14ac:dyDescent="0.3">
      <c r="B25" s="83"/>
      <c r="C25" s="83"/>
      <c r="D25" s="132"/>
      <c r="E25" s="129" t="e">
        <f t="shared" si="0"/>
        <v>#N/A</v>
      </c>
      <c r="F25" s="83"/>
      <c r="G25" s="83"/>
      <c r="H25" s="83"/>
      <c r="I25" s="85" t="e">
        <f t="shared" si="1"/>
        <v>#N/A</v>
      </c>
    </row>
    <row r="26" spans="2:9" s="87" customFormat="1" x14ac:dyDescent="0.3">
      <c r="B26" s="83"/>
      <c r="C26" s="83"/>
      <c r="D26" s="132"/>
      <c r="E26" s="129" t="e">
        <f t="shared" si="0"/>
        <v>#N/A</v>
      </c>
      <c r="F26" s="83"/>
      <c r="G26" s="83"/>
      <c r="H26" s="83"/>
      <c r="I26" s="85" t="e">
        <f t="shared" si="1"/>
        <v>#N/A</v>
      </c>
    </row>
    <row r="27" spans="2:9" s="87" customFormat="1" x14ac:dyDescent="0.3">
      <c r="B27" s="83"/>
      <c r="C27" s="83"/>
      <c r="D27" s="132"/>
      <c r="E27" s="129" t="e">
        <f t="shared" si="0"/>
        <v>#N/A</v>
      </c>
      <c r="F27" s="83"/>
      <c r="G27" s="83"/>
      <c r="H27" s="83"/>
      <c r="I27" s="85" t="e">
        <f t="shared" si="1"/>
        <v>#N/A</v>
      </c>
    </row>
    <row r="28" spans="2:9" s="87" customFormat="1" x14ac:dyDescent="0.3">
      <c r="B28" s="83"/>
      <c r="C28" s="83"/>
      <c r="D28" s="132"/>
      <c r="E28" s="129" t="e">
        <f t="shared" si="0"/>
        <v>#N/A</v>
      </c>
      <c r="F28" s="83"/>
      <c r="G28" s="83"/>
      <c r="H28" s="83"/>
      <c r="I28" s="85" t="e">
        <f t="shared" si="1"/>
        <v>#N/A</v>
      </c>
    </row>
    <row r="29" spans="2:9" s="87" customFormat="1" x14ac:dyDescent="0.3">
      <c r="B29" s="83"/>
      <c r="C29" s="83"/>
      <c r="D29" s="132"/>
      <c r="E29" s="129" t="e">
        <f t="shared" si="0"/>
        <v>#N/A</v>
      </c>
      <c r="F29" s="83"/>
      <c r="G29" s="83"/>
      <c r="H29" s="83"/>
      <c r="I29" s="85" t="e">
        <f t="shared" si="1"/>
        <v>#N/A</v>
      </c>
    </row>
    <row r="30" spans="2:9" s="87" customFormat="1" x14ac:dyDescent="0.3">
      <c r="B30" s="83"/>
      <c r="C30" s="83"/>
      <c r="D30" s="132"/>
      <c r="E30" s="129" t="e">
        <f t="shared" si="0"/>
        <v>#N/A</v>
      </c>
      <c r="F30" s="83"/>
      <c r="G30" s="83"/>
      <c r="H30" s="83"/>
      <c r="I30" s="85" t="e">
        <f t="shared" si="1"/>
        <v>#N/A</v>
      </c>
    </row>
    <row r="31" spans="2:9" s="87" customFormat="1" x14ac:dyDescent="0.3">
      <c r="B31" s="83"/>
      <c r="C31" s="83"/>
      <c r="D31" s="132"/>
      <c r="E31" s="129" t="e">
        <f t="shared" si="0"/>
        <v>#N/A</v>
      </c>
      <c r="F31" s="83"/>
      <c r="G31" s="83"/>
      <c r="H31" s="83"/>
      <c r="I31" s="85" t="e">
        <f t="shared" si="1"/>
        <v>#N/A</v>
      </c>
    </row>
    <row r="32" spans="2:9" s="87" customFormat="1" x14ac:dyDescent="0.3">
      <c r="B32" s="83"/>
      <c r="C32" s="83"/>
      <c r="D32" s="132"/>
      <c r="E32" s="129" t="e">
        <f t="shared" si="0"/>
        <v>#N/A</v>
      </c>
      <c r="F32" s="83"/>
      <c r="G32" s="83"/>
      <c r="H32" s="83"/>
      <c r="I32" s="85" t="e">
        <f t="shared" si="1"/>
        <v>#N/A</v>
      </c>
    </row>
    <row r="33" spans="2:9" s="87" customFormat="1" x14ac:dyDescent="0.3">
      <c r="B33" s="83"/>
      <c r="C33" s="83"/>
      <c r="D33" s="132"/>
      <c r="E33" s="129" t="e">
        <f t="shared" si="0"/>
        <v>#N/A</v>
      </c>
      <c r="F33" s="83"/>
      <c r="G33" s="83"/>
      <c r="H33" s="83"/>
      <c r="I33" s="85" t="e">
        <f t="shared" si="1"/>
        <v>#N/A</v>
      </c>
    </row>
    <row r="34" spans="2:9" s="87" customFormat="1" x14ac:dyDescent="0.3">
      <c r="B34" s="83"/>
      <c r="C34" s="83"/>
      <c r="D34" s="132"/>
      <c r="E34" s="129" t="e">
        <f t="shared" si="0"/>
        <v>#N/A</v>
      </c>
      <c r="F34" s="83"/>
      <c r="G34" s="83"/>
      <c r="H34" s="83"/>
      <c r="I34" s="85" t="e">
        <f t="shared" si="1"/>
        <v>#N/A</v>
      </c>
    </row>
    <row r="35" spans="2:9" s="87" customFormat="1" x14ac:dyDescent="0.3">
      <c r="B35" s="83"/>
      <c r="C35" s="83"/>
      <c r="D35" s="132"/>
      <c r="E35" s="129" t="e">
        <f t="shared" si="0"/>
        <v>#N/A</v>
      </c>
      <c r="F35" s="83"/>
      <c r="G35" s="83"/>
      <c r="H35" s="83"/>
      <c r="I35" s="85" t="e">
        <f t="shared" si="1"/>
        <v>#N/A</v>
      </c>
    </row>
    <row r="36" spans="2:9" s="87" customFormat="1" x14ac:dyDescent="0.3">
      <c r="B36" s="83"/>
      <c r="C36" s="83"/>
      <c r="D36" s="132"/>
      <c r="E36" s="129" t="e">
        <f t="shared" si="0"/>
        <v>#N/A</v>
      </c>
      <c r="F36" s="83"/>
      <c r="G36" s="83"/>
      <c r="H36" s="83"/>
      <c r="I36" s="85" t="e">
        <f t="shared" si="1"/>
        <v>#N/A</v>
      </c>
    </row>
    <row r="37" spans="2:9" s="87" customFormat="1" x14ac:dyDescent="0.3">
      <c r="B37" s="83"/>
      <c r="C37" s="83"/>
      <c r="D37" s="132"/>
      <c r="E37" s="129" t="e">
        <f t="shared" si="0"/>
        <v>#N/A</v>
      </c>
      <c r="F37" s="83"/>
      <c r="G37" s="83"/>
      <c r="H37" s="83"/>
      <c r="I37" s="85" t="e">
        <f t="shared" si="1"/>
        <v>#N/A</v>
      </c>
    </row>
    <row r="38" spans="2:9" s="87" customFormat="1" x14ac:dyDescent="0.3">
      <c r="B38" s="83"/>
      <c r="C38" s="83"/>
      <c r="D38" s="132"/>
      <c r="E38" s="129" t="e">
        <f t="shared" si="0"/>
        <v>#N/A</v>
      </c>
      <c r="F38" s="83"/>
      <c r="G38" s="83"/>
      <c r="H38" s="83"/>
      <c r="I38" s="85" t="e">
        <f t="shared" ref="I38:I69" si="2">VLOOKUP(D38,$K$6:$L$7,2,FALSE)</f>
        <v>#N/A</v>
      </c>
    </row>
    <row r="39" spans="2:9" s="87" customFormat="1" x14ac:dyDescent="0.3">
      <c r="B39" s="83"/>
      <c r="C39" s="83"/>
      <c r="D39" s="132"/>
      <c r="E39" s="129" t="e">
        <f t="shared" si="0"/>
        <v>#N/A</v>
      </c>
      <c r="F39" s="83"/>
      <c r="G39" s="83"/>
      <c r="H39" s="83"/>
      <c r="I39" s="85" t="e">
        <f t="shared" si="2"/>
        <v>#N/A</v>
      </c>
    </row>
    <row r="40" spans="2:9" s="87" customFormat="1" x14ac:dyDescent="0.3">
      <c r="B40" s="92"/>
      <c r="C40" s="92"/>
      <c r="D40" s="132"/>
      <c r="E40" s="129" t="e">
        <f t="shared" si="0"/>
        <v>#N/A</v>
      </c>
      <c r="F40" s="83"/>
      <c r="G40" s="83"/>
      <c r="H40" s="83"/>
      <c r="I40" s="85" t="e">
        <f t="shared" si="2"/>
        <v>#N/A</v>
      </c>
    </row>
    <row r="41" spans="2:9" s="87" customFormat="1" x14ac:dyDescent="0.3">
      <c r="B41" s="92"/>
      <c r="C41" s="92"/>
      <c r="D41" s="132"/>
      <c r="E41" s="129" t="e">
        <f t="shared" si="0"/>
        <v>#N/A</v>
      </c>
      <c r="F41" s="83"/>
      <c r="G41" s="83"/>
      <c r="H41" s="83"/>
      <c r="I41" s="85" t="e">
        <f t="shared" si="2"/>
        <v>#N/A</v>
      </c>
    </row>
    <row r="42" spans="2:9" s="87" customFormat="1" x14ac:dyDescent="0.3">
      <c r="B42" s="92"/>
      <c r="C42" s="92"/>
      <c r="D42" s="132"/>
      <c r="E42" s="129" t="e">
        <f t="shared" si="0"/>
        <v>#N/A</v>
      </c>
      <c r="F42" s="83"/>
      <c r="G42" s="83"/>
      <c r="H42" s="83"/>
      <c r="I42" s="85" t="e">
        <f t="shared" si="2"/>
        <v>#N/A</v>
      </c>
    </row>
    <row r="43" spans="2:9" s="87" customFormat="1" x14ac:dyDescent="0.3">
      <c r="B43" s="92"/>
      <c r="C43" s="92"/>
      <c r="D43" s="132"/>
      <c r="E43" s="129" t="e">
        <f t="shared" si="0"/>
        <v>#N/A</v>
      </c>
      <c r="F43" s="83"/>
      <c r="G43" s="83"/>
      <c r="H43" s="83"/>
      <c r="I43" s="85" t="e">
        <f t="shared" si="2"/>
        <v>#N/A</v>
      </c>
    </row>
    <row r="44" spans="2:9" s="87" customFormat="1" x14ac:dyDescent="0.3">
      <c r="B44" s="92"/>
      <c r="C44" s="92"/>
      <c r="D44" s="132"/>
      <c r="E44" s="129" t="e">
        <f t="shared" si="0"/>
        <v>#N/A</v>
      </c>
      <c r="F44" s="83"/>
      <c r="G44" s="83"/>
      <c r="H44" s="83"/>
      <c r="I44" s="85" t="e">
        <f t="shared" si="2"/>
        <v>#N/A</v>
      </c>
    </row>
    <row r="45" spans="2:9" s="87" customFormat="1" x14ac:dyDescent="0.3">
      <c r="B45" s="92"/>
      <c r="C45" s="92"/>
      <c r="D45" s="132"/>
      <c r="E45" s="129" t="e">
        <f t="shared" si="0"/>
        <v>#N/A</v>
      </c>
      <c r="F45" s="83"/>
      <c r="G45" s="83"/>
      <c r="H45" s="83"/>
      <c r="I45" s="85" t="e">
        <f t="shared" si="2"/>
        <v>#N/A</v>
      </c>
    </row>
    <row r="46" spans="2:9" s="87" customFormat="1" x14ac:dyDescent="0.3">
      <c r="B46" s="92"/>
      <c r="C46" s="92"/>
      <c r="D46" s="132"/>
      <c r="E46" s="129" t="e">
        <f t="shared" si="0"/>
        <v>#N/A</v>
      </c>
      <c r="F46" s="83"/>
      <c r="G46" s="83"/>
      <c r="H46" s="83"/>
      <c r="I46" s="85" t="e">
        <f t="shared" si="2"/>
        <v>#N/A</v>
      </c>
    </row>
    <row r="47" spans="2:9" s="87" customFormat="1" x14ac:dyDescent="0.3">
      <c r="B47" s="92"/>
      <c r="C47" s="92"/>
      <c r="D47" s="132"/>
      <c r="E47" s="129" t="e">
        <f t="shared" si="0"/>
        <v>#N/A</v>
      </c>
      <c r="F47" s="83"/>
      <c r="G47" s="83"/>
      <c r="H47" s="83"/>
      <c r="I47" s="85" t="e">
        <f t="shared" si="2"/>
        <v>#N/A</v>
      </c>
    </row>
    <row r="48" spans="2:9" s="87" customFormat="1" x14ac:dyDescent="0.3">
      <c r="B48" s="92"/>
      <c r="C48" s="92"/>
      <c r="D48" s="132"/>
      <c r="E48" s="129" t="e">
        <f t="shared" si="0"/>
        <v>#N/A</v>
      </c>
      <c r="F48" s="83"/>
      <c r="G48" s="83"/>
      <c r="H48" s="83"/>
      <c r="I48" s="85" t="e">
        <f t="shared" si="2"/>
        <v>#N/A</v>
      </c>
    </row>
    <row r="49" spans="2:9" s="87" customFormat="1" x14ac:dyDescent="0.3">
      <c r="B49" s="92"/>
      <c r="C49" s="92"/>
      <c r="D49" s="132"/>
      <c r="E49" s="129" t="e">
        <f t="shared" si="0"/>
        <v>#N/A</v>
      </c>
      <c r="F49" s="83"/>
      <c r="G49" s="83"/>
      <c r="H49" s="83"/>
      <c r="I49" s="85" t="e">
        <f t="shared" si="2"/>
        <v>#N/A</v>
      </c>
    </row>
    <row r="50" spans="2:9" s="87" customFormat="1" x14ac:dyDescent="0.3">
      <c r="B50" s="92"/>
      <c r="C50" s="92"/>
      <c r="D50" s="132"/>
      <c r="E50" s="129" t="e">
        <f t="shared" si="0"/>
        <v>#N/A</v>
      </c>
      <c r="F50" s="83"/>
      <c r="G50" s="83"/>
      <c r="H50" s="83"/>
      <c r="I50" s="85" t="e">
        <f t="shared" si="2"/>
        <v>#N/A</v>
      </c>
    </row>
    <row r="51" spans="2:9" s="87" customFormat="1" x14ac:dyDescent="0.3">
      <c r="B51" s="92"/>
      <c r="C51" s="92"/>
      <c r="D51" s="132"/>
      <c r="E51" s="129" t="e">
        <f t="shared" si="0"/>
        <v>#N/A</v>
      </c>
      <c r="F51" s="83"/>
      <c r="G51" s="83"/>
      <c r="H51" s="83"/>
      <c r="I51" s="85" t="e">
        <f t="shared" si="2"/>
        <v>#N/A</v>
      </c>
    </row>
    <row r="52" spans="2:9" s="87" customFormat="1" x14ac:dyDescent="0.3">
      <c r="B52" s="92"/>
      <c r="C52" s="92"/>
      <c r="D52" s="132"/>
      <c r="E52" s="129" t="e">
        <f t="shared" si="0"/>
        <v>#N/A</v>
      </c>
      <c r="F52" s="83"/>
      <c r="G52" s="83"/>
      <c r="H52" s="83"/>
      <c r="I52" s="85" t="e">
        <f t="shared" si="2"/>
        <v>#N/A</v>
      </c>
    </row>
    <row r="53" spans="2:9" s="87" customFormat="1" x14ac:dyDescent="0.3">
      <c r="B53" s="92"/>
      <c r="C53" s="92"/>
      <c r="D53" s="132"/>
      <c r="E53" s="129" t="e">
        <f t="shared" si="0"/>
        <v>#N/A</v>
      </c>
      <c r="F53" s="83"/>
      <c r="G53" s="83"/>
      <c r="H53" s="83"/>
      <c r="I53" s="85" t="e">
        <f t="shared" si="2"/>
        <v>#N/A</v>
      </c>
    </row>
    <row r="54" spans="2:9" s="87" customFormat="1" x14ac:dyDescent="0.3">
      <c r="B54" s="92"/>
      <c r="C54" s="92"/>
      <c r="D54" s="132"/>
      <c r="E54" s="129" t="e">
        <f t="shared" si="0"/>
        <v>#N/A</v>
      </c>
      <c r="F54" s="83"/>
      <c r="G54" s="83"/>
      <c r="H54" s="83"/>
      <c r="I54" s="85" t="e">
        <f t="shared" si="2"/>
        <v>#N/A</v>
      </c>
    </row>
    <row r="55" spans="2:9" s="87" customFormat="1" x14ac:dyDescent="0.3">
      <c r="B55" s="92"/>
      <c r="C55" s="92"/>
      <c r="D55" s="132"/>
      <c r="E55" s="129" t="e">
        <f t="shared" si="0"/>
        <v>#N/A</v>
      </c>
      <c r="F55" s="83"/>
      <c r="G55" s="83"/>
      <c r="H55" s="83"/>
      <c r="I55" s="85" t="e">
        <f t="shared" si="2"/>
        <v>#N/A</v>
      </c>
    </row>
    <row r="56" spans="2:9" s="87" customFormat="1" x14ac:dyDescent="0.3">
      <c r="B56" s="92"/>
      <c r="C56" s="92"/>
      <c r="D56" s="132"/>
      <c r="E56" s="129" t="e">
        <f t="shared" si="0"/>
        <v>#N/A</v>
      </c>
      <c r="F56" s="83"/>
      <c r="G56" s="83"/>
      <c r="H56" s="83"/>
      <c r="I56" s="85" t="e">
        <f t="shared" si="2"/>
        <v>#N/A</v>
      </c>
    </row>
    <row r="57" spans="2:9" s="87" customFormat="1" x14ac:dyDescent="0.3">
      <c r="B57" s="92"/>
      <c r="C57" s="92"/>
      <c r="D57" s="132"/>
      <c r="E57" s="129" t="e">
        <f t="shared" si="0"/>
        <v>#N/A</v>
      </c>
      <c r="F57" s="83"/>
      <c r="G57" s="83"/>
      <c r="H57" s="83"/>
      <c r="I57" s="85" t="e">
        <f t="shared" si="2"/>
        <v>#N/A</v>
      </c>
    </row>
    <row r="58" spans="2:9" s="87" customFormat="1" x14ac:dyDescent="0.3">
      <c r="B58" s="92"/>
      <c r="C58" s="92"/>
      <c r="D58" s="132"/>
      <c r="E58" s="129" t="e">
        <f t="shared" si="0"/>
        <v>#N/A</v>
      </c>
      <c r="F58" s="83"/>
      <c r="G58" s="83"/>
      <c r="H58" s="83"/>
      <c r="I58" s="85" t="e">
        <f t="shared" si="2"/>
        <v>#N/A</v>
      </c>
    </row>
    <row r="59" spans="2:9" s="87" customFormat="1" x14ac:dyDescent="0.3">
      <c r="B59" s="92"/>
      <c r="C59" s="92"/>
      <c r="D59" s="132"/>
      <c r="E59" s="129" t="e">
        <f t="shared" si="0"/>
        <v>#N/A</v>
      </c>
      <c r="F59" s="83"/>
      <c r="G59" s="83"/>
      <c r="H59" s="83"/>
      <c r="I59" s="85" t="e">
        <f t="shared" si="2"/>
        <v>#N/A</v>
      </c>
    </row>
    <row r="60" spans="2:9" s="87" customFormat="1" x14ac:dyDescent="0.3">
      <c r="B60" s="83"/>
      <c r="C60" s="83"/>
      <c r="D60" s="132"/>
      <c r="E60" s="129" t="e">
        <f t="shared" si="0"/>
        <v>#N/A</v>
      </c>
      <c r="F60" s="83"/>
      <c r="G60" s="83"/>
      <c r="H60" s="83"/>
      <c r="I60" s="85" t="e">
        <f t="shared" si="2"/>
        <v>#N/A</v>
      </c>
    </row>
    <row r="61" spans="2:9" s="87" customFormat="1" x14ac:dyDescent="0.3">
      <c r="B61" s="83"/>
      <c r="C61" s="83"/>
      <c r="D61" s="132"/>
      <c r="E61" s="129" t="e">
        <f t="shared" si="0"/>
        <v>#N/A</v>
      </c>
      <c r="F61" s="83"/>
      <c r="G61" s="83"/>
      <c r="H61" s="83"/>
      <c r="I61" s="85" t="e">
        <f t="shared" si="2"/>
        <v>#N/A</v>
      </c>
    </row>
    <row r="62" spans="2:9" s="87" customFormat="1" x14ac:dyDescent="0.3">
      <c r="B62" s="83"/>
      <c r="C62" s="83"/>
      <c r="D62" s="132"/>
      <c r="E62" s="129" t="e">
        <f t="shared" si="0"/>
        <v>#N/A</v>
      </c>
      <c r="F62" s="83"/>
      <c r="G62" s="83"/>
      <c r="H62" s="83"/>
      <c r="I62" s="85" t="e">
        <f t="shared" si="2"/>
        <v>#N/A</v>
      </c>
    </row>
    <row r="63" spans="2:9" s="87" customFormat="1" x14ac:dyDescent="0.3">
      <c r="B63" s="83"/>
      <c r="C63" s="83"/>
      <c r="D63" s="132"/>
      <c r="E63" s="129" t="e">
        <f t="shared" si="0"/>
        <v>#N/A</v>
      </c>
      <c r="F63" s="83"/>
      <c r="G63" s="83"/>
      <c r="H63" s="83"/>
      <c r="I63" s="85" t="e">
        <f t="shared" si="2"/>
        <v>#N/A</v>
      </c>
    </row>
    <row r="64" spans="2:9" s="87" customFormat="1" x14ac:dyDescent="0.3">
      <c r="B64" s="83"/>
      <c r="C64" s="83"/>
      <c r="D64" s="132"/>
      <c r="E64" s="129" t="e">
        <f t="shared" si="0"/>
        <v>#N/A</v>
      </c>
      <c r="F64" s="83"/>
      <c r="G64" s="83"/>
      <c r="H64" s="83"/>
      <c r="I64" s="85" t="e">
        <f t="shared" si="2"/>
        <v>#N/A</v>
      </c>
    </row>
    <row r="65" spans="2:9" s="87" customFormat="1" x14ac:dyDescent="0.3">
      <c r="B65" s="83"/>
      <c r="C65" s="83"/>
      <c r="D65" s="132"/>
      <c r="E65" s="129" t="e">
        <f t="shared" si="0"/>
        <v>#N/A</v>
      </c>
      <c r="F65" s="83"/>
      <c r="G65" s="83"/>
      <c r="H65" s="83"/>
      <c r="I65" s="85" t="e">
        <f t="shared" si="2"/>
        <v>#N/A</v>
      </c>
    </row>
    <row r="66" spans="2:9" s="87" customFormat="1" x14ac:dyDescent="0.3">
      <c r="B66" s="83"/>
      <c r="C66" s="83"/>
      <c r="D66" s="132"/>
      <c r="E66" s="129" t="e">
        <f t="shared" si="0"/>
        <v>#N/A</v>
      </c>
      <c r="F66" s="83"/>
      <c r="G66" s="83"/>
      <c r="H66" s="83"/>
      <c r="I66" s="85" t="e">
        <f t="shared" si="2"/>
        <v>#N/A</v>
      </c>
    </row>
    <row r="67" spans="2:9" s="87" customFormat="1" x14ac:dyDescent="0.3">
      <c r="B67" s="83"/>
      <c r="C67" s="83"/>
      <c r="D67" s="132"/>
      <c r="E67" s="129" t="e">
        <f t="shared" si="0"/>
        <v>#N/A</v>
      </c>
      <c r="F67" s="83"/>
      <c r="G67" s="83"/>
      <c r="H67" s="83"/>
      <c r="I67" s="85" t="e">
        <f t="shared" si="2"/>
        <v>#N/A</v>
      </c>
    </row>
    <row r="68" spans="2:9" s="87" customFormat="1" x14ac:dyDescent="0.3">
      <c r="B68" s="83"/>
      <c r="C68" s="83"/>
      <c r="D68" s="132"/>
      <c r="E68" s="129" t="e">
        <f t="shared" si="0"/>
        <v>#N/A</v>
      </c>
      <c r="F68" s="83"/>
      <c r="G68" s="83"/>
      <c r="H68" s="83"/>
      <c r="I68" s="85" t="e">
        <f t="shared" si="2"/>
        <v>#N/A</v>
      </c>
    </row>
    <row r="69" spans="2:9" s="87" customFormat="1" x14ac:dyDescent="0.3">
      <c r="B69" s="83"/>
      <c r="C69" s="83"/>
      <c r="D69" s="132"/>
      <c r="E69" s="129" t="e">
        <f t="shared" si="0"/>
        <v>#N/A</v>
      </c>
      <c r="F69" s="83"/>
      <c r="G69" s="83"/>
      <c r="H69" s="83"/>
      <c r="I69" s="85" t="e">
        <f t="shared" si="2"/>
        <v>#N/A</v>
      </c>
    </row>
    <row r="70" spans="2:9" s="87" customFormat="1" x14ac:dyDescent="0.3">
      <c r="E70" s="93"/>
      <c r="I70" s="93"/>
    </row>
    <row r="71" spans="2:9" s="87" customFormat="1" x14ac:dyDescent="0.3">
      <c r="C71" s="114"/>
      <c r="D71" s="114"/>
      <c r="E71" s="115"/>
      <c r="F71" s="114"/>
      <c r="G71" s="114"/>
      <c r="H71" s="114"/>
      <c r="I71" s="115"/>
    </row>
    <row r="72" spans="2:9" ht="15" thickBot="1" x14ac:dyDescent="0.35">
      <c r="C72" s="116"/>
      <c r="D72" s="116"/>
      <c r="E72" s="117"/>
      <c r="F72" s="128"/>
      <c r="G72" s="81"/>
      <c r="H72" s="81"/>
      <c r="I72" s="119"/>
    </row>
    <row r="73" spans="2:9" x14ac:dyDescent="0.3">
      <c r="C73" s="163" t="s">
        <v>27</v>
      </c>
      <c r="D73" s="163"/>
      <c r="E73" s="163"/>
      <c r="F73" s="128"/>
      <c r="G73" s="128"/>
      <c r="H73" s="122"/>
      <c r="I73" s="119"/>
    </row>
    <row r="74" spans="2:9" x14ac:dyDescent="0.3">
      <c r="C74" s="164" t="s">
        <v>28</v>
      </c>
      <c r="D74" s="164"/>
      <c r="E74" s="164"/>
      <c r="F74" s="128"/>
      <c r="G74" s="81"/>
      <c r="H74" s="81"/>
      <c r="I74" s="119"/>
    </row>
    <row r="75" spans="2:9" x14ac:dyDescent="0.3">
      <c r="C75" s="81"/>
      <c r="D75" s="81"/>
      <c r="E75" s="122"/>
      <c r="F75" s="128"/>
      <c r="G75" s="81"/>
      <c r="H75" s="81"/>
      <c r="I75" s="119"/>
    </row>
    <row r="76" spans="2:9" x14ac:dyDescent="0.3">
      <c r="E76" s="45"/>
      <c r="F76" s="44"/>
    </row>
    <row r="77" spans="2:9" x14ac:dyDescent="0.3">
      <c r="I77" s="78"/>
    </row>
  </sheetData>
  <autoFilter ref="B5:I69"/>
  <mergeCells count="5">
    <mergeCell ref="K9:M13"/>
    <mergeCell ref="C2:I2"/>
    <mergeCell ref="H4:I4"/>
    <mergeCell ref="C73:E73"/>
    <mergeCell ref="C74:E74"/>
  </mergeCells>
  <dataValidations count="1">
    <dataValidation type="list" allowBlank="1" showInputMessage="1" showErrorMessage="1" sqref="D6:D69">
      <formula1>$K$6:$K$7</formula1>
    </dataValidation>
  </dataValidations>
  <pageMargins left="1.299212598425197" right="0" top="0.74803149606299213" bottom="0.74803149606299213" header="0.31496062992125984" footer="0.31496062992125984"/>
  <pageSetup paperSize="5" scale="90" orientation="landscape" horizontalDpi="4294967293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tabColor rgb="FF0070C0"/>
  </sheetPr>
  <dimension ref="A3:C19"/>
  <sheetViews>
    <sheetView zoomScaleNormal="100" workbookViewId="0">
      <selection activeCell="C20" sqref="C20"/>
    </sheetView>
  </sheetViews>
  <sheetFormatPr baseColWidth="10" defaultRowHeight="14.4" x14ac:dyDescent="0.3"/>
  <cols>
    <col min="2" max="2" width="11.5546875" style="1"/>
    <col min="3" max="3" width="124.109375" customWidth="1"/>
  </cols>
  <sheetData>
    <row r="3" spans="1:3" ht="19.8" x14ac:dyDescent="0.4">
      <c r="B3" s="140"/>
      <c r="C3" s="140" t="s">
        <v>69</v>
      </c>
    </row>
    <row r="4" spans="1:3" x14ac:dyDescent="0.3">
      <c r="A4" s="21"/>
      <c r="B4" s="43">
        <v>1</v>
      </c>
      <c r="C4" s="139" t="s">
        <v>25</v>
      </c>
    </row>
    <row r="5" spans="1:3" x14ac:dyDescent="0.3">
      <c r="A5" s="21"/>
      <c r="B5" s="43">
        <v>2</v>
      </c>
      <c r="C5" s="139" t="s">
        <v>26</v>
      </c>
    </row>
    <row r="6" spans="1:3" s="21" customFormat="1" x14ac:dyDescent="0.3">
      <c r="B6" s="43">
        <v>3</v>
      </c>
      <c r="C6" s="139" t="s">
        <v>22</v>
      </c>
    </row>
    <row r="7" spans="1:3" s="21" customFormat="1" x14ac:dyDescent="0.3">
      <c r="B7" s="43">
        <v>4</v>
      </c>
      <c r="C7" s="141" t="s">
        <v>57</v>
      </c>
    </row>
    <row r="8" spans="1:3" s="21" customFormat="1" x14ac:dyDescent="0.3">
      <c r="B8" s="43">
        <v>4.0999999999999996</v>
      </c>
      <c r="C8" s="141" t="s">
        <v>58</v>
      </c>
    </row>
    <row r="9" spans="1:3" s="21" customFormat="1" x14ac:dyDescent="0.3">
      <c r="B9" s="43">
        <v>4.2</v>
      </c>
      <c r="C9" s="141" t="s">
        <v>59</v>
      </c>
    </row>
    <row r="10" spans="1:3" s="21" customFormat="1" x14ac:dyDescent="0.3">
      <c r="B10" s="43">
        <v>5</v>
      </c>
      <c r="C10" s="139" t="s">
        <v>23</v>
      </c>
    </row>
    <row r="11" spans="1:3" x14ac:dyDescent="0.3">
      <c r="A11" s="21"/>
      <c r="B11" s="43">
        <v>6</v>
      </c>
      <c r="C11" s="139" t="s">
        <v>21</v>
      </c>
    </row>
    <row r="12" spans="1:3" x14ac:dyDescent="0.3">
      <c r="A12" s="21"/>
      <c r="B12" s="43">
        <v>7</v>
      </c>
      <c r="C12" s="139" t="s">
        <v>24</v>
      </c>
    </row>
    <row r="13" spans="1:3" x14ac:dyDescent="0.3">
      <c r="A13" s="21"/>
      <c r="B13" s="43">
        <v>8</v>
      </c>
      <c r="C13" s="141" t="s">
        <v>51</v>
      </c>
    </row>
    <row r="14" spans="1:3" x14ac:dyDescent="0.3">
      <c r="A14" s="21"/>
      <c r="B14" s="43">
        <v>9</v>
      </c>
      <c r="C14" s="142" t="s">
        <v>70</v>
      </c>
    </row>
    <row r="15" spans="1:3" s="21" customFormat="1" x14ac:dyDescent="0.3">
      <c r="B15" s="43">
        <v>9.1</v>
      </c>
      <c r="C15" s="139" t="s">
        <v>71</v>
      </c>
    </row>
    <row r="16" spans="1:3" s="21" customFormat="1" x14ac:dyDescent="0.3">
      <c r="B16" s="43">
        <v>10</v>
      </c>
      <c r="C16" s="139" t="s">
        <v>72</v>
      </c>
    </row>
    <row r="17" spans="2:3" s="21" customFormat="1" x14ac:dyDescent="0.3">
      <c r="B17" s="1"/>
      <c r="C17" s="42"/>
    </row>
    <row r="18" spans="2:3" x14ac:dyDescent="0.3">
      <c r="C18" s="42"/>
    </row>
    <row r="19" spans="2:3" x14ac:dyDescent="0.3">
      <c r="C19" s="42"/>
    </row>
  </sheetData>
  <pageMargins left="0.7" right="0.7" top="0.75" bottom="0.75" header="0.3" footer="0.3"/>
  <pageSetup paperSize="5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0070C0"/>
  </sheetPr>
  <dimension ref="A1:AV949"/>
  <sheetViews>
    <sheetView zoomScale="110" zoomScaleNormal="110" workbookViewId="0">
      <selection activeCell="E15" sqref="E1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54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E46:F46"/>
    <mergeCell ref="E47:F47"/>
    <mergeCell ref="D4:H4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0070C0"/>
  </sheetPr>
  <dimension ref="A1:AV949"/>
  <sheetViews>
    <sheetView zoomScale="110" zoomScaleNormal="110" workbookViewId="0">
      <selection activeCell="Q5" sqref="Q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55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70C0"/>
  </sheetPr>
  <dimension ref="A1:AV949"/>
  <sheetViews>
    <sheetView zoomScale="110" zoomScaleNormal="110" workbookViewId="0">
      <selection activeCell="D5" sqref="D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56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70C0"/>
  </sheetPr>
  <dimension ref="A1:AV949"/>
  <sheetViews>
    <sheetView topLeftCell="B1" zoomScale="110" zoomScaleNormal="110" workbookViewId="0">
      <selection activeCell="I5" sqref="I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60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0070C0"/>
  </sheetPr>
  <dimension ref="A1:AV949"/>
  <sheetViews>
    <sheetView topLeftCell="A2" zoomScale="110" zoomScaleNormal="110" workbookViewId="0">
      <selection activeCell="D12" sqref="D12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61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70C0"/>
  </sheetPr>
  <dimension ref="A1:AV949"/>
  <sheetViews>
    <sheetView zoomScale="110" zoomScaleNormal="110" workbookViewId="0">
      <selection activeCell="D4" sqref="D4:H4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62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0070C0"/>
  </sheetPr>
  <dimension ref="A1:AV949"/>
  <sheetViews>
    <sheetView topLeftCell="A2" zoomScale="110" zoomScaleNormal="110" workbookViewId="0">
      <selection activeCell="E5" sqref="E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63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tabColor rgb="FF0070C0"/>
  </sheetPr>
  <dimension ref="A1:AV949"/>
  <sheetViews>
    <sheetView zoomScale="110" zoomScaleNormal="110" workbookViewId="0">
      <selection activeCell="D5" sqref="D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65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0070C0"/>
  </sheetPr>
  <dimension ref="A1:AV949"/>
  <sheetViews>
    <sheetView zoomScale="110" zoomScaleNormal="110" workbookViewId="0">
      <selection activeCell="D5" sqref="D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64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tabColor rgb="FF0070C0"/>
  </sheetPr>
  <dimension ref="A1:AV949"/>
  <sheetViews>
    <sheetView topLeftCell="B1" zoomScale="110" zoomScaleNormal="110" workbookViewId="0">
      <selection activeCell="C15" sqref="C1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67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rgb="FF0070C0"/>
  </sheetPr>
  <dimension ref="A1:AV949"/>
  <sheetViews>
    <sheetView zoomScale="110" zoomScaleNormal="110" workbookViewId="0">
      <selection activeCell="D5" sqref="D5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66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tabColor rgb="FF0070C0"/>
  </sheetPr>
  <dimension ref="A1:AV949"/>
  <sheetViews>
    <sheetView zoomScale="110" zoomScaleNormal="110" workbookViewId="0">
      <selection activeCell="B11" sqref="B11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68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37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37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V949"/>
  <sheetViews>
    <sheetView zoomScale="110" zoomScaleNormal="110" workbookViewId="0">
      <selection activeCell="G10" sqref="G10"/>
    </sheetView>
  </sheetViews>
  <sheetFormatPr baseColWidth="10" defaultColWidth="14.44140625" defaultRowHeight="15" customHeight="1" x14ac:dyDescent="0.3"/>
  <cols>
    <col min="1" max="1" width="14.44140625" style="21"/>
    <col min="2" max="2" width="17.44140625" style="1" customWidth="1"/>
    <col min="3" max="3" width="41.109375" style="21" customWidth="1"/>
    <col min="4" max="4" width="22" style="1" customWidth="1"/>
    <col min="5" max="5" width="22.88671875" style="1" customWidth="1"/>
    <col min="6" max="6" width="25" style="21" customWidth="1"/>
    <col min="7" max="7" width="24.6640625" style="2" customWidth="1"/>
    <col min="8" max="8" width="16" style="2" customWidth="1"/>
    <col min="9" max="10" width="10" style="2" customWidth="1"/>
    <col min="11" max="48" width="14.44140625" style="2"/>
    <col min="49" max="16384" width="14.44140625" style="21"/>
  </cols>
  <sheetData>
    <row r="1" spans="1:48" ht="15" customHeight="1" x14ac:dyDescent="0.3">
      <c r="A1" s="46"/>
      <c r="B1" s="47"/>
      <c r="C1" s="46"/>
      <c r="D1" s="47"/>
      <c r="E1" s="47"/>
      <c r="F1" s="4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48" ht="15" customHeight="1" x14ac:dyDescent="0.3">
      <c r="A2" s="46"/>
      <c r="B2" s="47"/>
      <c r="C2" s="46"/>
      <c r="D2" s="47"/>
      <c r="E2" s="47"/>
      <c r="F2" s="4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48" ht="15" customHeight="1" thickBot="1" x14ac:dyDescent="0.35">
      <c r="A3" s="46"/>
      <c r="B3" s="47"/>
      <c r="C3" s="46"/>
      <c r="D3" s="47"/>
      <c r="E3" s="47"/>
      <c r="F3" s="46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48" ht="70.5" customHeight="1" thickBot="1" x14ac:dyDescent="0.35">
      <c r="A4" s="46"/>
      <c r="B4" s="145" t="s">
        <v>50</v>
      </c>
      <c r="C4" s="172"/>
      <c r="D4" s="174" t="s">
        <v>72</v>
      </c>
      <c r="E4" s="175"/>
      <c r="F4" s="175"/>
      <c r="G4" s="175"/>
      <c r="H4" s="17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48" ht="44.25" customHeight="1" thickBot="1" x14ac:dyDescent="0.35">
      <c r="A5" s="46"/>
      <c r="B5" s="75" t="s">
        <v>12</v>
      </c>
      <c r="C5" s="76" t="s">
        <v>9</v>
      </c>
      <c r="D5" s="76" t="s">
        <v>2</v>
      </c>
      <c r="E5" s="76" t="s">
        <v>11</v>
      </c>
      <c r="F5" s="76" t="s">
        <v>0</v>
      </c>
      <c r="G5" s="77" t="s">
        <v>1</v>
      </c>
      <c r="H5" s="77" t="s">
        <v>53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48" s="3" customFormat="1" ht="15" customHeight="1" x14ac:dyDescent="0.3">
      <c r="B6" s="40"/>
      <c r="C6" s="41"/>
      <c r="D6" s="22"/>
      <c r="E6" s="22"/>
      <c r="F6" s="9"/>
      <c r="G6" s="26"/>
      <c r="H6" s="2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3" customFormat="1" ht="15" customHeight="1" x14ac:dyDescent="0.3">
      <c r="B7" s="27"/>
      <c r="C7" s="10"/>
      <c r="D7" s="8"/>
      <c r="E7" s="22"/>
      <c r="F7" s="9"/>
      <c r="G7" s="26"/>
      <c r="H7" s="2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3" customFormat="1" ht="15" customHeight="1" x14ac:dyDescent="0.3">
      <c r="B8" s="28"/>
      <c r="C8" s="11"/>
      <c r="D8" s="8"/>
      <c r="E8" s="22"/>
      <c r="F8" s="9"/>
      <c r="G8" s="26"/>
      <c r="H8" s="2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3" customFormat="1" ht="15" customHeight="1" x14ac:dyDescent="0.3">
      <c r="B9" s="27"/>
      <c r="C9" s="12"/>
      <c r="D9" s="8"/>
      <c r="E9" s="22"/>
      <c r="F9" s="9"/>
      <c r="G9" s="26"/>
      <c r="H9" s="2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3" customFormat="1" ht="15" customHeight="1" x14ac:dyDescent="0.3">
      <c r="B10" s="27"/>
      <c r="C10" s="12"/>
      <c r="D10" s="8"/>
      <c r="E10" s="22"/>
      <c r="F10" s="9"/>
      <c r="G10" s="26"/>
      <c r="H10" s="2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3" customFormat="1" ht="15" customHeight="1" x14ac:dyDescent="0.3">
      <c r="B11" s="29"/>
      <c r="C11" s="13"/>
      <c r="D11" s="14"/>
      <c r="E11" s="23"/>
      <c r="F11" s="9"/>
      <c r="G11" s="26"/>
      <c r="H11" s="2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3" customFormat="1" ht="15" customHeight="1" x14ac:dyDescent="0.3">
      <c r="B12" s="28"/>
      <c r="C12" s="11"/>
      <c r="D12" s="8"/>
      <c r="E12" s="22"/>
      <c r="F12" s="9"/>
      <c r="G12" s="26"/>
      <c r="H12" s="2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3" customFormat="1" ht="15" customHeight="1" x14ac:dyDescent="0.3">
      <c r="B13" s="29"/>
      <c r="C13" s="13"/>
      <c r="D13" s="14"/>
      <c r="E13" s="23"/>
      <c r="F13" s="9"/>
      <c r="G13" s="26"/>
      <c r="H13" s="2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3" customFormat="1" ht="15" customHeight="1" x14ac:dyDescent="0.3">
      <c r="B14" s="29"/>
      <c r="C14" s="13"/>
      <c r="D14" s="14"/>
      <c r="E14" s="23"/>
      <c r="F14" s="9"/>
      <c r="G14" s="26"/>
      <c r="H14" s="26"/>
      <c r="I14" s="48"/>
      <c r="J14" s="48"/>
      <c r="K14" s="48"/>
      <c r="L14" s="48"/>
      <c r="M14" s="48"/>
      <c r="N14" s="4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3" customFormat="1" ht="15" customHeight="1" x14ac:dyDescent="0.3">
      <c r="B15" s="29"/>
      <c r="C15" s="13"/>
      <c r="D15" s="8"/>
      <c r="E15" s="22"/>
      <c r="F15" s="9"/>
      <c r="G15" s="26"/>
      <c r="H15" s="26"/>
      <c r="I15" s="48"/>
      <c r="J15" s="48"/>
      <c r="K15" s="48"/>
      <c r="L15" s="48"/>
      <c r="M15" s="48"/>
      <c r="N15" s="4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3" customFormat="1" ht="15" customHeight="1" x14ac:dyDescent="0.3">
      <c r="B16" s="29"/>
      <c r="C16" s="13"/>
      <c r="D16" s="14"/>
      <c r="E16" s="23"/>
      <c r="F16" s="9"/>
      <c r="G16" s="26"/>
      <c r="H16" s="26"/>
      <c r="I16" s="48"/>
      <c r="J16" s="48"/>
      <c r="K16" s="48"/>
      <c r="L16" s="48"/>
      <c r="M16" s="48"/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3" customFormat="1" ht="15" customHeight="1" x14ac:dyDescent="0.3">
      <c r="B17" s="30"/>
      <c r="C17" s="12"/>
      <c r="D17" s="8"/>
      <c r="E17" s="22"/>
      <c r="F17" s="9"/>
      <c r="G17" s="26"/>
      <c r="H17" s="26"/>
      <c r="I17" s="48"/>
      <c r="J17" s="48"/>
      <c r="K17" s="48"/>
      <c r="L17" s="48"/>
      <c r="M17" s="48"/>
      <c r="N17" s="4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3" customFormat="1" ht="15" customHeight="1" x14ac:dyDescent="0.3">
      <c r="B18" s="27"/>
      <c r="C18" s="10"/>
      <c r="D18" s="8"/>
      <c r="E18" s="22"/>
      <c r="F18" s="9"/>
      <c r="G18" s="26"/>
      <c r="H18" s="26"/>
      <c r="I18" s="48"/>
      <c r="J18" s="48"/>
      <c r="K18" s="48"/>
      <c r="L18" s="48"/>
      <c r="M18" s="48"/>
      <c r="N18" s="4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3" customFormat="1" ht="15" customHeight="1" x14ac:dyDescent="0.3">
      <c r="B19" s="31"/>
      <c r="C19" s="15"/>
      <c r="D19" s="8"/>
      <c r="E19" s="22"/>
      <c r="F19" s="9"/>
      <c r="G19" s="26"/>
      <c r="H19" s="26"/>
      <c r="I19" s="48"/>
      <c r="J19" s="48"/>
      <c r="K19" s="48"/>
      <c r="L19" s="48"/>
      <c r="M19" s="48"/>
      <c r="N19" s="4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3" customFormat="1" ht="15" customHeight="1" x14ac:dyDescent="0.3">
      <c r="B20" s="31"/>
      <c r="C20" s="15"/>
      <c r="D20" s="8"/>
      <c r="E20" s="22"/>
      <c r="F20" s="9"/>
      <c r="G20" s="26"/>
      <c r="H20" s="26"/>
      <c r="I20" s="48"/>
      <c r="J20" s="48"/>
      <c r="K20" s="48"/>
      <c r="L20" s="48"/>
      <c r="M20" s="48"/>
      <c r="N20" s="4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3" customFormat="1" ht="15" customHeight="1" x14ac:dyDescent="0.3">
      <c r="B21" s="31"/>
      <c r="C21" s="15"/>
      <c r="D21" s="8"/>
      <c r="E21" s="22"/>
      <c r="F21" s="9"/>
      <c r="G21" s="26"/>
      <c r="H21" s="26"/>
      <c r="I21" s="48"/>
      <c r="J21" s="48"/>
      <c r="K21" s="48"/>
      <c r="L21" s="48"/>
      <c r="M21" s="48"/>
      <c r="N21" s="4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3" customFormat="1" ht="15" customHeight="1" x14ac:dyDescent="0.3">
      <c r="B22" s="30"/>
      <c r="C22" s="12"/>
      <c r="D22" s="8"/>
      <c r="E22" s="22"/>
      <c r="F22" s="9"/>
      <c r="G22" s="26"/>
      <c r="H22" s="26"/>
      <c r="I22" s="48"/>
      <c r="J22" s="48"/>
      <c r="K22" s="48"/>
      <c r="L22" s="48"/>
      <c r="M22" s="48"/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3" customFormat="1" ht="15" customHeight="1" x14ac:dyDescent="0.3">
      <c r="A23" s="46"/>
      <c r="B23" s="30"/>
      <c r="C23" s="12"/>
      <c r="D23" s="8"/>
      <c r="E23" s="22"/>
      <c r="F23" s="9"/>
      <c r="G23" s="26"/>
      <c r="H23" s="26"/>
      <c r="I23" s="48"/>
      <c r="J23" s="48"/>
      <c r="K23" s="48"/>
      <c r="L23" s="48"/>
      <c r="M23" s="48"/>
      <c r="N23" s="4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3" customFormat="1" ht="15" customHeight="1" x14ac:dyDescent="0.3">
      <c r="A24" s="46"/>
      <c r="B24" s="30"/>
      <c r="C24" s="12"/>
      <c r="D24" s="8"/>
      <c r="E24" s="22"/>
      <c r="F24" s="9"/>
      <c r="G24" s="26"/>
      <c r="H24" s="26"/>
      <c r="I24" s="48"/>
      <c r="J24" s="48"/>
      <c r="K24" s="48"/>
      <c r="L24" s="48"/>
      <c r="M24" s="48"/>
      <c r="N24" s="4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3" customFormat="1" ht="15" customHeight="1" x14ac:dyDescent="0.3">
      <c r="A25" s="46"/>
      <c r="B25" s="30"/>
      <c r="C25" s="12"/>
      <c r="D25" s="8"/>
      <c r="E25" s="22"/>
      <c r="F25" s="9"/>
      <c r="G25" s="26"/>
      <c r="H25" s="26"/>
      <c r="I25" s="48"/>
      <c r="J25" s="48"/>
      <c r="K25" s="48"/>
      <c r="L25" s="48"/>
      <c r="M25" s="48"/>
      <c r="N25" s="4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3">
      <c r="A26" s="46"/>
      <c r="B26" s="29"/>
      <c r="C26" s="13"/>
      <c r="D26" s="8"/>
      <c r="E26" s="22"/>
      <c r="F26" s="9"/>
      <c r="G26" s="26"/>
      <c r="H26" s="26"/>
      <c r="I26" s="48"/>
      <c r="J26" s="48"/>
      <c r="K26" s="48"/>
      <c r="L26" s="48"/>
      <c r="M26" s="48"/>
      <c r="N26" s="48"/>
    </row>
    <row r="27" spans="1:48" ht="15" customHeight="1" x14ac:dyDescent="0.3">
      <c r="A27" s="46"/>
      <c r="B27" s="30"/>
      <c r="C27" s="12"/>
      <c r="D27" s="8"/>
      <c r="E27" s="22"/>
      <c r="F27" s="9"/>
      <c r="G27" s="26"/>
      <c r="H27" s="26"/>
      <c r="I27" s="48"/>
      <c r="J27" s="48"/>
      <c r="K27" s="48"/>
      <c r="L27" s="48"/>
      <c r="M27" s="48"/>
      <c r="N27" s="48"/>
    </row>
    <row r="28" spans="1:48" ht="15" customHeight="1" x14ac:dyDescent="0.3">
      <c r="A28" s="46"/>
      <c r="B28" s="30"/>
      <c r="C28" s="12"/>
      <c r="D28" s="16"/>
      <c r="E28" s="24"/>
      <c r="F28" s="9"/>
      <c r="G28" s="26"/>
      <c r="H28" s="26"/>
      <c r="I28" s="48"/>
      <c r="J28" s="48"/>
      <c r="K28" s="48"/>
      <c r="L28" s="48"/>
      <c r="M28" s="48"/>
      <c r="N28" s="48"/>
    </row>
    <row r="29" spans="1:48" ht="15" customHeight="1" x14ac:dyDescent="0.3">
      <c r="A29" s="46"/>
      <c r="B29" s="32"/>
      <c r="C29" s="17"/>
      <c r="D29" s="8"/>
      <c r="E29" s="22"/>
      <c r="F29" s="9"/>
      <c r="G29" s="26"/>
      <c r="H29" s="26"/>
      <c r="I29" s="48"/>
      <c r="J29" s="48"/>
      <c r="K29" s="48"/>
      <c r="L29" s="48"/>
      <c r="M29" s="48"/>
      <c r="N29" s="48"/>
    </row>
    <row r="30" spans="1:48" ht="15" customHeight="1" x14ac:dyDescent="0.3">
      <c r="A30" s="46"/>
      <c r="B30" s="32"/>
      <c r="C30" s="17"/>
      <c r="D30" s="8"/>
      <c r="E30" s="22"/>
      <c r="F30" s="9"/>
      <c r="G30" s="26"/>
      <c r="H30" s="26"/>
      <c r="I30" s="48"/>
      <c r="J30" s="48"/>
      <c r="K30" s="48"/>
      <c r="L30" s="48"/>
      <c r="M30" s="48"/>
      <c r="N30" s="48"/>
    </row>
    <row r="31" spans="1:48" ht="15" customHeight="1" x14ac:dyDescent="0.3">
      <c r="A31" s="46"/>
      <c r="B31" s="32"/>
      <c r="C31" s="17"/>
      <c r="D31" s="8"/>
      <c r="E31" s="22"/>
      <c r="F31" s="9"/>
      <c r="G31" s="26"/>
      <c r="H31" s="26"/>
      <c r="I31" s="48"/>
      <c r="J31" s="48"/>
      <c r="K31" s="48"/>
      <c r="L31" s="48"/>
      <c r="M31" s="48"/>
      <c r="N31" s="48"/>
    </row>
    <row r="32" spans="1:48" ht="15" customHeight="1" x14ac:dyDescent="0.3">
      <c r="A32" s="46"/>
      <c r="B32" s="32"/>
      <c r="C32" s="17"/>
      <c r="D32" s="8"/>
      <c r="E32" s="22"/>
      <c r="F32" s="9"/>
      <c r="G32" s="26"/>
      <c r="H32" s="26"/>
      <c r="I32" s="48"/>
      <c r="J32" s="48"/>
      <c r="K32" s="48"/>
      <c r="L32" s="48"/>
      <c r="M32" s="48"/>
      <c r="N32" s="48"/>
    </row>
    <row r="33" spans="1:14" ht="15" customHeight="1" x14ac:dyDescent="0.3">
      <c r="A33" s="46"/>
      <c r="B33" s="32"/>
      <c r="C33" s="17"/>
      <c r="D33" s="8"/>
      <c r="E33" s="22"/>
      <c r="F33" s="9"/>
      <c r="G33" s="26"/>
      <c r="H33" s="26"/>
      <c r="I33" s="48"/>
      <c r="J33" s="48"/>
      <c r="K33" s="48"/>
      <c r="L33" s="48"/>
      <c r="M33" s="48"/>
      <c r="N33" s="48"/>
    </row>
    <row r="34" spans="1:14" ht="15" customHeight="1" x14ac:dyDescent="0.3">
      <c r="A34" s="46"/>
      <c r="B34" s="33"/>
      <c r="C34" s="18"/>
      <c r="D34" s="8"/>
      <c r="E34" s="22"/>
      <c r="F34" s="9"/>
      <c r="G34" s="26"/>
      <c r="H34" s="26"/>
      <c r="I34" s="48"/>
      <c r="J34" s="48"/>
      <c r="K34" s="48"/>
      <c r="L34" s="48"/>
      <c r="M34" s="48"/>
      <c r="N34" s="48"/>
    </row>
    <row r="35" spans="1:14" ht="15" customHeight="1" x14ac:dyDescent="0.3">
      <c r="A35" s="46"/>
      <c r="B35" s="30"/>
      <c r="C35" s="12"/>
      <c r="D35" s="8"/>
      <c r="E35" s="22"/>
      <c r="F35" s="9"/>
      <c r="G35" s="26"/>
      <c r="H35" s="26"/>
      <c r="I35" s="48"/>
      <c r="J35" s="48"/>
      <c r="K35" s="48"/>
      <c r="L35" s="48"/>
      <c r="M35" s="48"/>
      <c r="N35" s="48"/>
    </row>
    <row r="36" spans="1:14" ht="15" customHeight="1" x14ac:dyDescent="0.3">
      <c r="A36" s="46"/>
      <c r="B36" s="30"/>
      <c r="C36" s="12"/>
      <c r="D36" s="8"/>
      <c r="E36" s="22"/>
      <c r="F36" s="9"/>
      <c r="G36" s="26"/>
      <c r="H36" s="26"/>
      <c r="I36" s="48"/>
      <c r="J36" s="48"/>
      <c r="K36" s="48"/>
      <c r="L36" s="48"/>
      <c r="M36" s="48"/>
      <c r="N36" s="48"/>
    </row>
    <row r="37" spans="1:14" ht="15" customHeight="1" x14ac:dyDescent="0.3">
      <c r="A37" s="46"/>
      <c r="B37" s="27"/>
      <c r="C37" s="10"/>
      <c r="D37" s="8"/>
      <c r="E37" s="22"/>
      <c r="F37" s="9"/>
      <c r="G37" s="26"/>
      <c r="H37" s="26"/>
      <c r="I37" s="48"/>
      <c r="J37" s="48"/>
      <c r="K37" s="48"/>
      <c r="L37" s="48"/>
      <c r="M37" s="48"/>
      <c r="N37" s="48"/>
    </row>
    <row r="38" spans="1:14" ht="15" customHeight="1" x14ac:dyDescent="0.3">
      <c r="A38" s="46"/>
      <c r="B38" s="30"/>
      <c r="C38" s="12"/>
      <c r="D38" s="8"/>
      <c r="E38" s="22"/>
      <c r="F38" s="9"/>
      <c r="G38" s="26"/>
      <c r="H38" s="26"/>
      <c r="I38" s="48"/>
      <c r="J38" s="48"/>
      <c r="K38" s="48"/>
      <c r="L38" s="48"/>
      <c r="M38" s="48"/>
      <c r="N38" s="48"/>
    </row>
    <row r="39" spans="1:14" ht="15" customHeight="1" x14ac:dyDescent="0.3">
      <c r="A39" s="46"/>
      <c r="B39" s="30"/>
      <c r="C39" s="12"/>
      <c r="D39" s="8"/>
      <c r="E39" s="22"/>
      <c r="F39" s="9"/>
      <c r="G39" s="26"/>
      <c r="H39" s="26"/>
      <c r="I39" s="48"/>
      <c r="J39" s="48"/>
      <c r="K39" s="48"/>
      <c r="L39" s="48"/>
      <c r="M39" s="48"/>
      <c r="N39" s="48"/>
    </row>
    <row r="40" spans="1:14" ht="15" customHeight="1" x14ac:dyDescent="0.3">
      <c r="A40" s="46"/>
      <c r="B40" s="30"/>
      <c r="C40" s="12"/>
      <c r="D40" s="8"/>
      <c r="E40" s="22"/>
      <c r="F40" s="9"/>
      <c r="G40" s="26"/>
      <c r="H40" s="26"/>
      <c r="I40" s="48"/>
      <c r="J40" s="48"/>
      <c r="K40" s="48"/>
      <c r="L40" s="48"/>
      <c r="M40" s="48"/>
      <c r="N40" s="48"/>
    </row>
    <row r="41" spans="1:14" ht="15" customHeight="1" x14ac:dyDescent="0.3">
      <c r="A41" s="46"/>
      <c r="B41" s="29"/>
      <c r="C41" s="13"/>
      <c r="D41" s="19"/>
      <c r="E41" s="25"/>
      <c r="F41" s="9"/>
      <c r="G41" s="26"/>
      <c r="H41" s="26"/>
      <c r="I41" s="48"/>
      <c r="J41" s="48"/>
      <c r="K41" s="48"/>
      <c r="L41" s="48"/>
      <c r="M41" s="48"/>
      <c r="N41" s="48"/>
    </row>
    <row r="42" spans="1:14" ht="15.75" customHeight="1" thickBot="1" x14ac:dyDescent="0.35">
      <c r="A42" s="46"/>
      <c r="B42" s="34"/>
      <c r="C42" s="35"/>
      <c r="D42" s="36"/>
      <c r="E42" s="37"/>
      <c r="F42" s="38"/>
      <c r="G42" s="39"/>
      <c r="H42" s="39"/>
      <c r="I42" s="48"/>
      <c r="J42" s="48"/>
      <c r="K42" s="48"/>
      <c r="L42" s="48"/>
      <c r="M42" s="48"/>
      <c r="N42" s="48"/>
    </row>
    <row r="43" spans="1:14" ht="15.75" customHeight="1" x14ac:dyDescent="0.3">
      <c r="A43" s="46"/>
      <c r="B43" s="47"/>
      <c r="C43" s="46"/>
      <c r="D43" s="47"/>
      <c r="E43" s="47"/>
      <c r="F43" s="46"/>
      <c r="G43" s="48"/>
      <c r="H43" s="48"/>
      <c r="I43" s="48"/>
      <c r="J43" s="48"/>
      <c r="K43" s="48"/>
      <c r="L43" s="48"/>
      <c r="M43" s="48"/>
      <c r="N43" s="48"/>
    </row>
    <row r="44" spans="1:14" ht="15.75" customHeight="1" x14ac:dyDescent="0.3">
      <c r="A44" s="46"/>
      <c r="B44" s="47"/>
      <c r="C44" s="46"/>
      <c r="D44" s="47"/>
      <c r="E44" s="47"/>
      <c r="F44" s="46"/>
      <c r="G44" s="48"/>
      <c r="H44" s="48"/>
      <c r="I44" s="48"/>
      <c r="J44" s="48"/>
      <c r="K44" s="48"/>
      <c r="L44" s="48"/>
      <c r="M44" s="48"/>
      <c r="N44" s="48"/>
    </row>
    <row r="45" spans="1:14" ht="15.75" customHeight="1" thickBot="1" x14ac:dyDescent="0.35">
      <c r="A45" s="46"/>
      <c r="B45" s="47"/>
      <c r="C45" s="125"/>
      <c r="D45" s="126"/>
      <c r="E45" s="125"/>
      <c r="F45" s="125"/>
      <c r="G45" s="48"/>
      <c r="H45" s="48"/>
      <c r="I45" s="48"/>
      <c r="J45" s="48"/>
      <c r="K45" s="48"/>
      <c r="L45" s="48"/>
      <c r="M45" s="48"/>
      <c r="N45" s="48"/>
    </row>
    <row r="46" spans="1:14" ht="15.75" customHeight="1" x14ac:dyDescent="0.3">
      <c r="A46" s="46"/>
      <c r="B46" s="47"/>
      <c r="C46" s="144" t="s">
        <v>27</v>
      </c>
      <c r="D46" s="126"/>
      <c r="E46" s="173" t="s">
        <v>29</v>
      </c>
      <c r="F46" s="173"/>
      <c r="G46" s="48"/>
      <c r="H46" s="48"/>
      <c r="I46" s="48"/>
      <c r="J46" s="48"/>
      <c r="K46" s="48"/>
      <c r="L46" s="48"/>
      <c r="M46" s="48"/>
      <c r="N46" s="48"/>
    </row>
    <row r="47" spans="1:14" ht="15.75" customHeight="1" x14ac:dyDescent="0.3">
      <c r="A47" s="46"/>
      <c r="B47" s="47"/>
      <c r="C47" s="144" t="s">
        <v>28</v>
      </c>
      <c r="D47" s="126"/>
      <c r="E47" s="173" t="s">
        <v>30</v>
      </c>
      <c r="F47" s="173"/>
      <c r="G47" s="48"/>
      <c r="H47" s="48"/>
      <c r="I47" s="48"/>
      <c r="J47" s="48"/>
      <c r="K47" s="48"/>
      <c r="L47" s="48"/>
      <c r="M47" s="48"/>
      <c r="N47" s="48"/>
    </row>
    <row r="48" spans="1:14" ht="15.75" customHeight="1" x14ac:dyDescent="0.3">
      <c r="A48" s="46"/>
      <c r="B48" s="47"/>
      <c r="C48" s="126"/>
      <c r="D48" s="126"/>
      <c r="E48" s="126"/>
      <c r="F48" s="126"/>
      <c r="G48" s="48"/>
      <c r="H48" s="48"/>
      <c r="I48" s="48"/>
      <c r="J48" s="48"/>
      <c r="K48" s="48"/>
      <c r="L48" s="48"/>
      <c r="M48" s="48"/>
      <c r="N48" s="48"/>
    </row>
    <row r="49" spans="1:14" ht="15.75" customHeight="1" x14ac:dyDescent="0.3">
      <c r="A49" s="46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ht="15.75" customHeight="1" x14ac:dyDescent="0.3">
      <c r="A50" s="46"/>
      <c r="B50" s="47"/>
      <c r="C50" s="105"/>
      <c r="D50" s="105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5.75" customHeight="1" x14ac:dyDescent="0.3">
      <c r="A51" s="46"/>
      <c r="B51" s="47"/>
      <c r="C51" s="46"/>
      <c r="D51" s="47"/>
      <c r="E51" s="47"/>
      <c r="F51" s="46"/>
      <c r="G51" s="48"/>
      <c r="H51" s="48"/>
      <c r="I51" s="48"/>
      <c r="J51" s="48"/>
      <c r="K51" s="48"/>
      <c r="L51" s="48"/>
      <c r="M51" s="48"/>
      <c r="N51" s="48"/>
    </row>
    <row r="52" spans="1:14" ht="15.75" customHeight="1" x14ac:dyDescent="0.3">
      <c r="A52" s="46"/>
      <c r="B52" s="47"/>
      <c r="C52" s="46"/>
      <c r="D52" s="47"/>
      <c r="E52" s="47"/>
      <c r="F52" s="46"/>
      <c r="G52" s="48"/>
      <c r="H52" s="48"/>
      <c r="I52" s="48"/>
      <c r="J52" s="48"/>
      <c r="K52" s="48"/>
      <c r="L52" s="48"/>
      <c r="M52" s="48"/>
      <c r="N52" s="48"/>
    </row>
    <row r="53" spans="1:14" ht="15.75" customHeight="1" x14ac:dyDescent="0.3">
      <c r="A53" s="46"/>
      <c r="B53" s="47"/>
      <c r="C53" s="46"/>
      <c r="D53" s="47"/>
      <c r="E53" s="47"/>
      <c r="F53" s="46"/>
      <c r="G53" s="48"/>
      <c r="H53" s="48"/>
      <c r="I53" s="48"/>
      <c r="J53" s="48"/>
      <c r="K53" s="48"/>
      <c r="L53" s="48"/>
      <c r="M53" s="48"/>
      <c r="N53" s="48"/>
    </row>
    <row r="54" spans="1:14" ht="15.75" customHeight="1" x14ac:dyDescent="0.3">
      <c r="A54" s="46"/>
      <c r="B54" s="47"/>
      <c r="C54" s="46"/>
      <c r="D54" s="47"/>
      <c r="E54" s="47"/>
      <c r="F54" s="46"/>
      <c r="G54" s="48"/>
      <c r="H54" s="48"/>
      <c r="I54" s="48"/>
      <c r="J54" s="48"/>
      <c r="K54" s="48"/>
      <c r="L54" s="48"/>
      <c r="M54" s="48"/>
      <c r="N54" s="48"/>
    </row>
    <row r="55" spans="1:14" ht="15.75" customHeight="1" x14ac:dyDescent="0.3">
      <c r="A55" s="46"/>
      <c r="B55" s="47"/>
      <c r="C55" s="46"/>
      <c r="D55" s="47"/>
      <c r="E55" s="47"/>
      <c r="F55" s="46"/>
      <c r="G55" s="48"/>
      <c r="H55" s="48"/>
      <c r="I55" s="48"/>
      <c r="J55" s="48"/>
      <c r="K55" s="48"/>
      <c r="L55" s="48"/>
      <c r="M55" s="48"/>
      <c r="N55" s="48"/>
    </row>
    <row r="56" spans="1:14" ht="15.75" customHeight="1" x14ac:dyDescent="0.3">
      <c r="A56" s="46"/>
      <c r="B56" s="47"/>
      <c r="C56" s="46"/>
      <c r="D56" s="47"/>
      <c r="E56" s="47"/>
      <c r="F56" s="46"/>
      <c r="G56" s="48"/>
      <c r="H56" s="48"/>
      <c r="I56" s="48"/>
      <c r="J56" s="48"/>
      <c r="K56" s="48"/>
      <c r="L56" s="48"/>
      <c r="M56" s="48"/>
      <c r="N56" s="48"/>
    </row>
    <row r="57" spans="1:14" ht="15.75" customHeight="1" x14ac:dyDescent="0.3">
      <c r="A57" s="46"/>
      <c r="B57" s="47"/>
      <c r="C57" s="46"/>
      <c r="D57" s="47"/>
      <c r="E57" s="47"/>
      <c r="F57" s="46"/>
      <c r="G57" s="48"/>
      <c r="H57" s="48"/>
      <c r="I57" s="48"/>
      <c r="J57" s="48"/>
      <c r="K57" s="48"/>
      <c r="L57" s="48"/>
      <c r="M57" s="48"/>
      <c r="N57" s="48"/>
    </row>
    <row r="58" spans="1:14" ht="15.75" customHeight="1" x14ac:dyDescent="0.3">
      <c r="A58" s="46"/>
      <c r="B58" s="47"/>
      <c r="C58" s="46"/>
      <c r="D58" s="47"/>
      <c r="E58" s="47"/>
      <c r="F58" s="46"/>
      <c r="G58" s="48"/>
      <c r="H58" s="48"/>
      <c r="I58" s="48"/>
      <c r="J58" s="48"/>
      <c r="K58" s="48"/>
      <c r="L58" s="48"/>
      <c r="M58" s="48"/>
      <c r="N58" s="48"/>
    </row>
    <row r="59" spans="1:14" ht="15.75" customHeight="1" x14ac:dyDescent="0.3">
      <c r="A59" s="46"/>
      <c r="B59" s="47"/>
      <c r="C59" s="46"/>
      <c r="D59" s="47"/>
      <c r="E59" s="47"/>
      <c r="F59" s="46"/>
      <c r="G59" s="48"/>
      <c r="H59" s="48"/>
      <c r="I59" s="48"/>
      <c r="J59" s="48"/>
      <c r="K59" s="48"/>
      <c r="L59" s="48"/>
      <c r="M59" s="48"/>
      <c r="N59" s="48"/>
    </row>
    <row r="60" spans="1:14" ht="15.75" customHeight="1" x14ac:dyDescent="0.3">
      <c r="A60" s="46"/>
      <c r="B60" s="47"/>
      <c r="C60" s="46"/>
      <c r="D60" s="47"/>
      <c r="E60" s="47"/>
      <c r="F60" s="46"/>
      <c r="G60" s="48"/>
      <c r="H60" s="48"/>
      <c r="I60" s="48"/>
      <c r="J60" s="48"/>
      <c r="K60" s="48"/>
      <c r="L60" s="48"/>
      <c r="M60" s="48"/>
      <c r="N60" s="48"/>
    </row>
    <row r="61" spans="1:14" ht="15.75" customHeight="1" x14ac:dyDescent="0.3">
      <c r="A61" s="46"/>
      <c r="B61" s="47"/>
      <c r="C61" s="46"/>
      <c r="D61" s="47"/>
      <c r="E61" s="47"/>
      <c r="F61" s="46"/>
      <c r="G61" s="48"/>
      <c r="H61" s="48"/>
      <c r="I61" s="48"/>
      <c r="J61" s="48"/>
      <c r="K61" s="48"/>
      <c r="L61" s="48"/>
      <c r="M61" s="48"/>
      <c r="N61" s="48"/>
    </row>
    <row r="62" spans="1:14" ht="15.75" customHeight="1" x14ac:dyDescent="0.3">
      <c r="A62" s="46"/>
      <c r="B62" s="47"/>
      <c r="C62" s="46"/>
      <c r="D62" s="47"/>
      <c r="E62" s="47"/>
      <c r="F62" s="46"/>
      <c r="G62" s="48"/>
      <c r="H62" s="48"/>
      <c r="I62" s="48"/>
      <c r="J62" s="48"/>
      <c r="K62" s="48"/>
      <c r="L62" s="48"/>
      <c r="M62" s="48"/>
      <c r="N62" s="48"/>
    </row>
    <row r="63" spans="1:14" ht="15.75" customHeight="1" x14ac:dyDescent="0.3">
      <c r="A63" s="46"/>
      <c r="B63" s="47"/>
      <c r="C63" s="46"/>
      <c r="D63" s="47"/>
      <c r="E63" s="47"/>
      <c r="F63" s="46"/>
      <c r="G63" s="48"/>
      <c r="H63" s="48"/>
      <c r="I63" s="48"/>
      <c r="J63" s="48"/>
      <c r="K63" s="48"/>
      <c r="L63" s="48"/>
      <c r="M63" s="48"/>
      <c r="N63" s="48"/>
    </row>
    <row r="64" spans="1:14" ht="15.75" customHeight="1" x14ac:dyDescent="0.3">
      <c r="A64" s="46"/>
      <c r="B64" s="47"/>
      <c r="C64" s="46"/>
      <c r="D64" s="47"/>
      <c r="E64" s="47"/>
      <c r="F64" s="46"/>
      <c r="G64" s="48"/>
      <c r="H64" s="48"/>
      <c r="I64" s="48"/>
      <c r="J64" s="48"/>
      <c r="K64" s="48"/>
      <c r="L64" s="48"/>
      <c r="M64" s="48"/>
      <c r="N64" s="48"/>
    </row>
    <row r="65" spans="1:14" ht="15.75" customHeight="1" x14ac:dyDescent="0.3">
      <c r="A65" s="46"/>
      <c r="B65" s="47"/>
      <c r="C65" s="46"/>
      <c r="D65" s="47"/>
      <c r="E65" s="47"/>
      <c r="F65" s="46"/>
      <c r="G65" s="48"/>
      <c r="H65" s="48"/>
      <c r="I65" s="48"/>
      <c r="J65" s="48"/>
      <c r="K65" s="48"/>
      <c r="L65" s="48"/>
      <c r="M65" s="48"/>
      <c r="N65" s="48"/>
    </row>
    <row r="66" spans="1:14" ht="15.75" customHeight="1" x14ac:dyDescent="0.3">
      <c r="A66" s="46"/>
      <c r="B66" s="47"/>
      <c r="C66" s="46"/>
      <c r="D66" s="47"/>
      <c r="E66" s="47"/>
      <c r="F66" s="46"/>
      <c r="G66" s="48"/>
      <c r="H66" s="48"/>
      <c r="I66" s="48"/>
      <c r="J66" s="48"/>
      <c r="K66" s="48"/>
      <c r="L66" s="48"/>
      <c r="M66" s="48"/>
      <c r="N66" s="48"/>
    </row>
    <row r="67" spans="1:14" ht="15.75" customHeight="1" x14ac:dyDescent="0.3">
      <c r="A67" s="46"/>
      <c r="B67" s="47"/>
      <c r="C67" s="46"/>
      <c r="D67" s="47"/>
      <c r="E67" s="47"/>
      <c r="F67" s="46"/>
      <c r="G67" s="48"/>
      <c r="H67" s="48"/>
      <c r="I67" s="48"/>
      <c r="J67" s="48"/>
      <c r="K67" s="48"/>
      <c r="L67" s="48"/>
      <c r="M67" s="48"/>
      <c r="N67" s="48"/>
    </row>
    <row r="68" spans="1:14" ht="15.75" customHeight="1" x14ac:dyDescent="0.3">
      <c r="A68" s="46"/>
      <c r="B68" s="47"/>
      <c r="C68" s="46"/>
      <c r="D68" s="47"/>
      <c r="E68" s="47"/>
      <c r="F68" s="46"/>
      <c r="G68" s="48"/>
      <c r="H68" s="48"/>
      <c r="I68" s="48"/>
      <c r="J68" s="48"/>
      <c r="K68" s="48"/>
      <c r="L68" s="48"/>
      <c r="M68" s="48"/>
      <c r="N68" s="48"/>
    </row>
    <row r="69" spans="1:14" ht="15.75" customHeight="1" x14ac:dyDescent="0.3">
      <c r="A69" s="46"/>
      <c r="B69" s="47"/>
      <c r="C69" s="46"/>
      <c r="D69" s="47"/>
      <c r="E69" s="47"/>
      <c r="F69" s="46"/>
      <c r="G69" s="48"/>
      <c r="H69" s="48"/>
      <c r="I69" s="48"/>
      <c r="J69" s="48"/>
      <c r="K69" s="48"/>
      <c r="L69" s="48"/>
      <c r="M69" s="48"/>
      <c r="N69" s="48"/>
    </row>
    <row r="70" spans="1:14" ht="15.75" customHeight="1" x14ac:dyDescent="0.3">
      <c r="A70" s="46"/>
      <c r="H70" s="48"/>
      <c r="I70" s="48"/>
      <c r="J70" s="48"/>
      <c r="K70" s="48"/>
      <c r="L70" s="48"/>
      <c r="M70" s="48"/>
      <c r="N70" s="48"/>
    </row>
    <row r="71" spans="1:14" ht="15.75" customHeight="1" x14ac:dyDescent="0.3">
      <c r="A71" s="46"/>
      <c r="H71" s="48"/>
      <c r="I71" s="48"/>
      <c r="J71" s="48"/>
      <c r="K71" s="48"/>
      <c r="L71" s="48"/>
      <c r="M71" s="48"/>
      <c r="N71" s="48"/>
    </row>
    <row r="72" spans="1:14" ht="15.75" customHeight="1" x14ac:dyDescent="0.3">
      <c r="A72" s="46"/>
      <c r="H72" s="48"/>
      <c r="I72" s="48"/>
      <c r="J72" s="48"/>
      <c r="K72" s="48"/>
      <c r="L72" s="48"/>
      <c r="M72" s="48"/>
      <c r="N72" s="48"/>
    </row>
    <row r="73" spans="1:14" ht="15.75" customHeight="1" x14ac:dyDescent="0.3">
      <c r="A73" s="46"/>
      <c r="H73" s="48"/>
      <c r="I73" s="48"/>
      <c r="J73" s="48"/>
      <c r="K73" s="48"/>
      <c r="L73" s="48"/>
      <c r="M73" s="48"/>
      <c r="N73" s="48"/>
    </row>
    <row r="74" spans="1:14" ht="15.75" customHeight="1" x14ac:dyDescent="0.3">
      <c r="A74" s="46"/>
      <c r="H74" s="48"/>
      <c r="I74" s="48"/>
      <c r="J74" s="48"/>
      <c r="K74" s="48"/>
      <c r="L74" s="48"/>
      <c r="M74" s="48"/>
      <c r="N74" s="48"/>
    </row>
    <row r="75" spans="1:14" ht="15.75" customHeight="1" x14ac:dyDescent="0.3">
      <c r="A75" s="46"/>
      <c r="H75" s="48"/>
      <c r="I75" s="48"/>
      <c r="J75" s="48"/>
      <c r="K75" s="48"/>
      <c r="L75" s="48"/>
      <c r="M75" s="48"/>
      <c r="N75" s="48"/>
    </row>
    <row r="76" spans="1:14" ht="15.75" customHeight="1" x14ac:dyDescent="0.3">
      <c r="A76" s="46"/>
    </row>
    <row r="77" spans="1:14" ht="15.75" customHeight="1" x14ac:dyDescent="0.3">
      <c r="A77" s="46"/>
    </row>
    <row r="78" spans="1:14" ht="15.75" customHeight="1" x14ac:dyDescent="0.3">
      <c r="A78" s="46"/>
    </row>
    <row r="79" spans="1:14" ht="15.75" customHeight="1" x14ac:dyDescent="0.3">
      <c r="A79" s="46"/>
    </row>
    <row r="80" spans="1:14" ht="15.75" customHeight="1" x14ac:dyDescent="0.3">
      <c r="A80" s="46"/>
    </row>
    <row r="81" spans="1:1" ht="15.75" customHeight="1" x14ac:dyDescent="0.3">
      <c r="A81" s="46"/>
    </row>
    <row r="82" spans="1:1" ht="15.75" customHeight="1" x14ac:dyDescent="0.3">
      <c r="A82" s="46"/>
    </row>
    <row r="83" spans="1:1" ht="15.75" customHeight="1" x14ac:dyDescent="0.3">
      <c r="A83" s="46"/>
    </row>
    <row r="84" spans="1:1" ht="15.75" customHeight="1" x14ac:dyDescent="0.3">
      <c r="A84" s="46"/>
    </row>
    <row r="85" spans="1:1" ht="15.75" customHeight="1" x14ac:dyDescent="0.3">
      <c r="A85" s="46"/>
    </row>
    <row r="86" spans="1:1" ht="15.75" customHeight="1" x14ac:dyDescent="0.3">
      <c r="A86" s="46"/>
    </row>
    <row r="87" spans="1:1" ht="15.75" customHeight="1" x14ac:dyDescent="0.3">
      <c r="A87" s="46"/>
    </row>
    <row r="88" spans="1:1" ht="15.75" customHeight="1" x14ac:dyDescent="0.3">
      <c r="A88" s="46"/>
    </row>
    <row r="89" spans="1:1" ht="15.75" customHeight="1" x14ac:dyDescent="0.3">
      <c r="A89" s="46"/>
    </row>
    <row r="90" spans="1:1" ht="15.75" customHeight="1" x14ac:dyDescent="0.3">
      <c r="A90" s="46"/>
    </row>
    <row r="91" spans="1:1" ht="15.75" customHeight="1" x14ac:dyDescent="0.3">
      <c r="A91" s="46"/>
    </row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</sheetData>
  <mergeCells count="4">
    <mergeCell ref="B4:C4"/>
    <mergeCell ref="D4:H4"/>
    <mergeCell ref="E46:F46"/>
    <mergeCell ref="E47:F47"/>
  </mergeCells>
  <pageMargins left="1.6929133858267718" right="0" top="0.74803149606299213" bottom="0.74803149606299213" header="0" footer="0"/>
  <pageSetup paperSize="5" orientation="landscape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21:A1000"/>
  <sheetViews>
    <sheetView workbookViewId="0"/>
  </sheetViews>
  <sheetFormatPr baseColWidth="10" defaultColWidth="14.44140625" defaultRowHeight="15" customHeight="1" x14ac:dyDescent="0.3"/>
  <cols>
    <col min="1" max="26" width="10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Hoja3</vt:lpstr>
      <vt:lpstr>Hoja2</vt:lpstr>
      <vt:lpstr>Hoja5</vt:lpstr>
      <vt:lpstr>Hoja6</vt:lpstr>
      <vt:lpstr>Hoja4</vt:lpstr>
      <vt:lpstr>HORAS EXTRAS PRESUPUESTARIA</vt:lpstr>
      <vt:lpstr>VIÁTICOS</vt:lpstr>
      <vt:lpstr>ATRASOS</vt:lpstr>
      <vt:lpstr>PROG. SUR CHOSHUENCO</vt:lpstr>
      <vt:lpstr>PROG. SUR NELTUME</vt:lpstr>
      <vt:lpstr>PROG. PIREHUEICO</vt:lpstr>
      <vt:lpstr>PROG. SUR COÑARIPE</vt:lpstr>
      <vt:lpstr>PROG. SAPU VERANO COÑARIPE</vt:lpstr>
      <vt:lpstr>PROG. SUR LIQUIÑE </vt:lpstr>
      <vt:lpstr>PR. RES. CIRUGÍA MENOR</vt:lpstr>
      <vt:lpstr>LISTADO DE PROGRAMAS APS 2026 </vt:lpstr>
      <vt:lpstr>HORAS EXTRAS PROG. 1</vt:lpstr>
      <vt:lpstr>HORAS EXTRAS PROG. 2</vt:lpstr>
      <vt:lpstr>HORAS EXTRAS PROG. 3</vt:lpstr>
      <vt:lpstr>HORAS EXTRAS PROG. 4</vt:lpstr>
      <vt:lpstr>HORAS EXTRAS PROG. 4,1</vt:lpstr>
      <vt:lpstr>HORAS EXTRAS PROG. 4,2</vt:lpstr>
      <vt:lpstr>HORAS EXTRAS PROG. 5</vt:lpstr>
      <vt:lpstr>HORAS EXTRAS PROG. 6</vt:lpstr>
      <vt:lpstr>HORAS EXTRAS PROG. 7</vt:lpstr>
      <vt:lpstr>HORAS EXTRAS PROG. 9</vt:lpstr>
      <vt:lpstr>HORAS EXTRAS PROG. 8</vt:lpstr>
      <vt:lpstr>HORAS EXTRAS PROG. 9,1</vt:lpstr>
      <vt:lpstr>HORAS EXTRAS PROG. 10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DIRECTORA</dc:creator>
  <cp:lastModifiedBy>felip</cp:lastModifiedBy>
  <cp:lastPrinted>2025-12-18T12:10:53Z</cp:lastPrinted>
  <dcterms:created xsi:type="dcterms:W3CDTF">2015-09-21T15:37:31Z</dcterms:created>
  <dcterms:modified xsi:type="dcterms:W3CDTF">2026-04-07T03:13:55Z</dcterms:modified>
</cp:coreProperties>
</file>